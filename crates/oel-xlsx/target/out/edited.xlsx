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/>
  </bookViews>
  <sheets>
    <sheet name="Budget" sheetId="1" r:id="rId3"/>
    <sheet name="Données 2026" sheetId="2" r:id="rId4"/>
    <sheet name="Nouvelle" sheetId="4" r:id="rIdOel7"/>
  </sheets>
  <definedNames>
    <definedName name="_xlnm._FilterDatabase" localSheetId="0" hidden="1">Budget!$A$1:$E$5</definedName>
    <definedName name="Montants">Budget!$B$2:$B$5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JB</author>
  </authors>
  <commentList>
    <comment ref="A3" authorId="0">
      <text>
        <r>
          <rPr>
            <sz val="10"/>
            <rFont val="Arial"/>
            <family val="2"/>
          </rPr>
          <t xml:space="preserve">Note de test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<sst xmlns="http://schemas.openxmlformats.org/spreadsheetml/2006/main" count="22" uniqueCount="22">
  <si>
    <t>Poste</t>
  </si>
  <si>
    <t>Montant</t>
  </si>
  <si>
    <t>Part</t>
  </si>
  <si>
    <t>Date</t>
  </si>
  <si>
    <t>Code</t>
  </si>
  <si>
    <t>Loyer</t>
  </si>
  <si>
    <t>007</t>
  </si>
  <si>
    <t>Épicerie</t>
  </si>
  <si>
    <t>012</t>
  </si>
  <si>
    <t>Transport</t>
  </si>
  <si>
    <t>100</t>
  </si>
  <si>
    <t>Café « bio »</t>
  </si>
  <si>
    <t>003</t>
  </si>
  <si>
    <t>Total</t>
  </si>
  <si>
    <t>Moyenne</t>
  </si>
  <si>
    <t>Max</t>
  </si>
  <si>
    <t>Texte</t>
  </si>
  <si>
    <t>Vrai</t>
  </si>
  <si>
    <t>Erreur</t>
  </si>
  <si>
    <t xml:space="preserve">Multi
ligne</t>
  </si>
  <si>
    <t>Cellules fusionnées</t>
  </si>
  <si>
    <t>rouge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</si>
</sst>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$&quot;"/>
    <numFmt numFmtId="166" formatCode="0.0%"/>
    <numFmt numFmtId="167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2"/>
      <color theme="10"/>
      <name val="Calibri"/>
      <family val="2"/>
      <charset val="1"/>
    </font>
    <font>
      <i val="true"/>
      <u val="single"/>
      <sz val="11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6F5C"/>
        <bgColor rgb="FF008080"/>
      </patternFill>
    </fill>
    <fill>
      <patternFill patternType="solid">
        <fgColor rgb="FFFF0000"/>
        <bgColor indexed="6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0" fontId="11" fillId="3" borderId="2" xfId="0" applyFont="1" applyFill="1" applyBorder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1">
    <dxf>
      <fill>
        <patternFill patternType="solid">
          <fgColor rgb="FF1F6F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A5C5BE"/>
          <bgColor rgb="FF000000"/>
        </patternFill>
      </fill>
    </dxf>
    <dxf>
      <fill>
        <patternFill patternType="solid">
          <fgColor rgb="FFEAF1F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F6F5C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6" Type="http://schemas.openxmlformats.org/officeDocument/2006/relationships/sharedStrings" Target="sharedStrings.xml"/>
<Relationship Id="rIdOel7" Type="http://schemas.openxmlformats.org/officeDocument/2006/relationships/worksheet" Target="worksheets/sheet4.xml"/>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Montants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Budget!B1</c:f>
              <c:strCache>
                <c:ptCount val="1"/>
                <c:pt idx="0">
                  <c:v>Montant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Budget!$A$2:$A$5</c:f>
              <c:strCache>
                <c:ptCount val="4"/>
                <c:pt idx="0">
                  <c:v>Loyer</c:v>
                </c:pt>
                <c:pt idx="1">
                  <c:v>Épicerie</c:v>
                </c:pt>
                <c:pt idx="2">
                  <c:v>Transport</c:v>
                </c:pt>
                <c:pt idx="3">
                  <c:v>Café « bio »</c:v>
                </c:pt>
              </c:strCache>
            </c:strRef>
          </c:cat>
          <c:val>
            <c:numRef>
              <c:f>Budget!$B$2:$B$5</c:f>
              <c:numCache>
                <c:formatCode>#,##0.00" $"</c:formatCode>
                <c:ptCount val="4"/>
                <c:pt idx="0">
                  <c:v>1450.5</c:v>
                </c:pt>
                <c:pt idx="1">
                  <c:v>612.25</c:v>
                </c:pt>
                <c:pt idx="2">
                  <c:v>180</c:v>
                </c:pt>
                <c:pt idx="3">
                  <c:v>42.75</c:v>
                </c:pt>
              </c:numCache>
            </c:numRef>
          </c:val>
        </c:ser>
        <c:gapWidth val="150"/>
        <c:overlap val="0"/>
        <c:axId val="67739862"/>
        <c:axId val="56965399"/>
      </c:barChart>
      <c:catAx>
        <c:axId val="67739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965399"/>
        <c:crosses val="autoZero"/>
        <c:auto val="1"/>
        <c:lblAlgn val="ctr"/>
        <c:lblOffset val="100"/>
        <c:noMultiLvlLbl val="0"/>
      </c:catAx>
      <c:valAx>
        <c:axId val="569653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$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7398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15</xdr:col>
      <xdr:colOff>507600</xdr:colOff>
      <xdr:row>14</xdr:row>
      <xdr:rowOff>13680</xdr:rowOff>
    </xdr:to>
    <xdr:graphicFrame>
      <xdr:nvGraphicFramePr>
        <xdr:cNvPr id="1" name="Chart 1"/>
        <xdr:cNvGraphicFramePr/>
      </xdr:nvGraphicFramePr>
      <xdr:xfrm>
        <a:off x="498348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outilsenligne.ca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5C"/>
    <pageSetUpPr fitToPage="false"/>
  </sheetPr>
  <dimension ref="A1:E21"/>
  <sheetViews>
    <sheetView showFormulas="false" showGridLines="1" showRowColHeaders="true" showZeros="true" rightToLeft="false" tabSelected="1" showOutlineSymbols="true" defaultGridColor="true" view="normal" topLeftCell="A1" colorId="64" zoomScale="100" zoomScaleNormal="100" zoomScalePageLayoutView="100" workbookViewId="0">
      <pane ySplit="2" topLeftCell="A3" activePane="bottomLeft" state="frozen"/>
      <selection pane="bottomLeft" activeCell="A3" sqref="A3"/>
    </sheetView>
  </sheetViews>
  <sheetFormatPr defaultColWidth="8.6796875" defaultRowHeight="15" customHeight="false" zeroHeight="false" outlineLevelRow="0" outlineLevelCol="0"/>
  <cols>
    <col min="1" max="1" width="22" customWidth="1"/>
    <col min="2" max="2" width="14" customWidth="1"/>
    <col min="5" max="5" width="13" hidden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2000</v>
      </c>
      <c r="C2" s="4">
        <f>B2/$B$7</f>
        <v>0.7054673721340388</v>
      </c>
      <c r="D2" s="5">
        <v>46023</v>
      </c>
      <c r="E2" t="s">
        <v>6</v>
      </c>
    </row>
    <row r="3">
      <c r="A3" s="6" t="s">
        <v>7</v>
      </c>
      <c r="B3" s="3">
        <v>612.25</v>
      </c>
      <c r="C3" s="4">
        <f>B3/$B$7</f>
        <v>0.21596119929453264</v>
      </c>
      <c r="D3" s="5">
        <v>46025</v>
      </c>
      <c r="E3" t="s">
        <v>8</v>
      </c>
    </row>
    <row r="4">
      <c r="A4" s="6" t="s">
        <v>9</v>
      </c>
      <c r="B4" s="3">
        <v>180</v>
      </c>
      <c r="C4" s="4">
        <f>B4/$B$7</f>
        <v>0.06349206349206349</v>
      </c>
      <c r="D4" s="5">
        <v>46027</v>
      </c>
      <c r="E4" t="s">
        <v>10</v>
      </c>
    </row>
    <row r="5">
      <c r="A5" s="6" t="s">
        <v>11</v>
      </c>
      <c r="B5" s="3">
        <v>42.75</v>
      </c>
      <c r="C5" s="4">
        <f>B5/$B$7</f>
        <v>0.01507936507936508</v>
      </c>
      <c r="D5" s="5">
        <v>46031</v>
      </c>
      <c r="E5" t="s">
        <v>12</v>
      </c>
    </row>
    <row r="6">
      <c r="B6" s="3"/>
      <c r="C6" s="4"/>
    </row>
    <row r="7">
      <c r="A7" s="7" t="s">
        <v>13</v>
      </c>
      <c r="B7" s="8">
        <f>SUM(B2:B5)</f>
        <v>2835</v>
      </c>
      <c r="C7" s="9">
        <f>SUM(C2:C5)</f>
        <v>0.9999999999999999</v>
      </c>
    </row>
    <row r="8">
      <c r="A8" t="s">
        <v>14</v>
      </c>
      <c r="B8" s="3">
        <f>AVERAGE(B2:B5)</f>
        <v>708.75</v>
      </c>
    </row>
    <row r="9">
      <c r="A9" t="s">
        <v>15</v>
      </c>
      <c r="B9" s="3">
        <f>MAX(Montants)</f>
        <v>2000</v>
      </c>
    </row>
    <row r="10">
      <c r="A10" t="s">
        <v>16</v>
      </c>
      <c r="B10" t="str">
        <f>CONCATENATE(A2," : ",TEXT(B2,"0.00"))</f>
        <v>Loyer : 2000.00</v>
      </c>
    </row>
    <row r="11">
      <c r="A11" t="s">
        <v>17</v>
      </c>
      <c r="B11" s="10" t="b">
        <f>TRUE()</f>
        <v>1</v>
      </c>
    </row>
    <row r="12">
      <c r="A12" t="s">
        <v>18</v>
      </c>
      <c r="B12" t="e">
        <f>1/0</f>
        <v>#DIV/0!</v>
      </c>
    </row>
    <row r="13" ht="31.5" customHeight="1">
      <c r="A13" s="11" t="s">
        <v>19</v>
      </c>
    </row>
    <row r="15">
      <c r="A15" s="12" t="s">
        <v>20</v>
      </c>
      <c r="B15" s="12"/>
      <c r="C15" s="12"/>
    </row>
    <row r="20">
      <c r="A20" t="str">
        <f>_xlfn.CONCAT(A2,"-",A3)</f>
        <v>Loyer-Épicerie</v>
      </c>
    </row>
    <row r="21">
      <c r="A21" s="13" t="s">
        <v>21</v>
      </c>
    </row>
  </sheetData>
  <autoFilter ref="A1:E5"/>
  <mergeCells count="1">
    <mergeCell ref="A15:C15"/>
  </mergeCells>
  <conditionalFormatting sqref="B2:B5">
    <cfRule type="cellIs" priority="2" operator="greaterThan" aboveAverage="0" equalAverage="0" bottom="0" percent="0" rank="0" text="" dxfId="9">
      <formula>500</formula>
    </cfRule>
    <cfRule type="dataBar" priority="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{B3639199-99DC-4FE3-A2F0-648035DC702A}</x14:id>
        </ext>
      </extLst>
    </cfRule>
  </conditionalFormatting>
  <conditionalFormatting sqref="C2:C5">
    <cfRule type="colorScale" priority="4">
      <colorScale>
        <cfvo type="min" val="0"/>
        <cfvo type="max" val="0"/>
        <color rgb="FFFFFFFF"/>
        <color rgb="FF1F6F5C"/>
      </colorScale>
    </cfRule>
  </conditionalFormatting>
  <conditionalFormatting sqref="A2:A5">
    <cfRule type="expression" priority="5" aboveAverage="0" equalAverage="0" bottom="0" percent="0" rank="0" text="" dxfId="10">
      <formula>LEN(A2)&gt;8</formula>
    </cfRule>
  </conditionalFormatting>
  <dataValidations count="1">
    <dataValidation allowBlank="1" errorStyle="stop" operator="between" showDropDown="false" showErrorMessage="false" showInputMessage="false" sqref="F2:F5" type="list">
      <formula1>"Oui,Non,Peut-être"</formula1>
      <formula2>0</formula2>
    </dataValidation>
  </dataValidations>
  <hyperlinks>
    <hyperlink ref="A2" r:id="rId2" display="Loy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639199-99DC-4FE3-A2F0-648035DC702A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B2:B5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1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>
      <c r="A1">
        <v>1</v>
      </c>
      <c r="B1">
        <f>A1*2</f>
        <v>2</v>
      </c>
      <c r="C1">
        <f>Budget!B$7+A1</f>
        <v>2836</v>
      </c>
      <c r="E1">
        <f>SUMPRODUCT(A1:A50,B1:B50)</f>
        <v>85850</v>
      </c>
    </row>
    <row r="2">
      <c r="A2">
        <v>2</v>
      </c>
      <c r="B2">
        <f>A2*2</f>
        <v>4</v>
      </c>
      <c r="C2">
        <f>Budget!B$7+A2</f>
        <v>2837</v>
      </c>
      <c r="E2">
        <f>VLOOKUP(10,A1:B50,2,FALSE())</f>
        <v>20</v>
      </c>
    </row>
    <row r="3">
      <c r="A3">
        <v>3</v>
      </c>
      <c r="B3">
        <f>A3*2</f>
        <v>6</v>
      </c>
      <c r="C3">
        <f>Budget!B$7+A3</f>
        <v>2838</v>
      </c>
      <c r="E3">
        <f>IFERROR(INDEX(B1:B50,MATCH(25,A1:A50,0)),"?")</f>
        <v>50</v>
      </c>
    </row>
    <row r="4">
      <c r="A4">
        <v>4</v>
      </c>
      <c r="B4">
        <f>A4*2</f>
        <v>8</v>
      </c>
      <c r="C4">
        <f>Budget!B$7+A4</f>
        <v>2839</v>
      </c>
      <c r="E4">
        <f>COUNTIF(A1:A50,"&gt;25")</f>
        <v>25</v>
      </c>
    </row>
    <row r="5">
      <c r="A5">
        <v>5</v>
      </c>
      <c r="B5">
        <f>A5*2</f>
        <v>10</v>
      </c>
      <c r="C5">
        <f>Budget!B$7+A5</f>
        <v>2840</v>
      </c>
      <c r="E5">
        <f>ROUND(PI(),4)</f>
        <v>3.1416</v>
      </c>
    </row>
    <row r="6">
      <c r="A6">
        <v>6</v>
      </c>
      <c r="B6">
        <f>A6*2</f>
        <v>12</v>
      </c>
      <c r="C6">
        <f>Budget!B$7+A6</f>
        <v>2841</v>
      </c>
      <c r="E6" t="str">
        <f>IF(E5&gt;3,"grand","petit")</f>
        <v>grand</v>
      </c>
    </row>
    <row r="7">
      <c r="A7">
        <v>7</v>
      </c>
      <c r="B7">
        <f>A7*2</f>
        <v>14</v>
      </c>
      <c r="C7">
        <f>Budget!B$7+A7</f>
        <v>2842</v>
      </c>
    </row>
    <row r="8">
      <c r="A8">
        <v>8</v>
      </c>
      <c r="B8">
        <f>A8*2</f>
        <v>16</v>
      </c>
      <c r="C8">
        <f>Budget!B$7+A8</f>
        <v>2843</v>
      </c>
    </row>
    <row r="9">
      <c r="A9">
        <v>9</v>
      </c>
      <c r="B9">
        <f>A9*2</f>
        <v>18</v>
      </c>
      <c r="C9">
        <f>Budget!B$7+A9</f>
        <v>2844</v>
      </c>
    </row>
    <row r="10">
      <c r="A10">
        <v>10</v>
      </c>
      <c r="B10">
        <f>A10*2</f>
        <v>20</v>
      </c>
      <c r="C10">
        <f>Budget!B$7+A10</f>
        <v>2845</v>
      </c>
    </row>
    <row r="11">
      <c r="A11">
        <v>11</v>
      </c>
      <c r="B11">
        <f>A11*2</f>
        <v>22</v>
      </c>
      <c r="C11">
        <f>Budget!B$7+A11</f>
        <v>2846</v>
      </c>
    </row>
    <row r="12">
      <c r="A12">
        <v>12</v>
      </c>
      <c r="B12">
        <f>A12*2</f>
        <v>24</v>
      </c>
      <c r="C12">
        <f>Budget!B$7+A12</f>
        <v>2847</v>
      </c>
    </row>
    <row r="13">
      <c r="A13">
        <v>13</v>
      </c>
      <c r="B13">
        <f>A13*2</f>
        <v>26</v>
      </c>
      <c r="C13">
        <f>Budget!B$7+A13</f>
        <v>2848</v>
      </c>
    </row>
    <row r="14">
      <c r="A14">
        <v>14</v>
      </c>
      <c r="B14">
        <f>A14*2</f>
        <v>28</v>
      </c>
      <c r="C14">
        <f>Budget!B$7+A14</f>
        <v>2849</v>
      </c>
    </row>
    <row r="15">
      <c r="A15">
        <v>15</v>
      </c>
      <c r="B15">
        <f>A15*2</f>
        <v>30</v>
      </c>
      <c r="C15">
        <f>Budget!B$7+A15</f>
        <v>2850</v>
      </c>
    </row>
    <row r="16">
      <c r="A16">
        <v>16</v>
      </c>
      <c r="B16">
        <f>A16*2</f>
        <v>32</v>
      </c>
      <c r="C16">
        <f>Budget!B$7+A16</f>
        <v>2851</v>
      </c>
    </row>
    <row r="17">
      <c r="A17">
        <v>17</v>
      </c>
      <c r="B17">
        <f>A17*2</f>
        <v>34</v>
      </c>
      <c r="C17">
        <f>Budget!B$7+A17</f>
        <v>2852</v>
      </c>
    </row>
    <row r="18">
      <c r="A18">
        <v>18</v>
      </c>
      <c r="B18">
        <f>A18*2</f>
        <v>36</v>
      </c>
      <c r="C18">
        <f>Budget!B$7+A18</f>
        <v>2853</v>
      </c>
    </row>
    <row r="19">
      <c r="A19">
        <v>19</v>
      </c>
      <c r="B19">
        <f>A19*2</f>
        <v>38</v>
      </c>
      <c r="C19">
        <f>Budget!B$7+A19</f>
        <v>2854</v>
      </c>
    </row>
    <row r="20">
      <c r="A20">
        <v>20</v>
      </c>
      <c r="B20">
        <f>A20*2</f>
        <v>40</v>
      </c>
      <c r="C20">
        <f>Budget!B$7+A20</f>
        <v>2855</v>
      </c>
    </row>
    <row r="21">
      <c r="A21">
        <v>21</v>
      </c>
      <c r="B21">
        <f>A21*2</f>
        <v>42</v>
      </c>
      <c r="C21">
        <f>Budget!B$7+A21</f>
        <v>2856</v>
      </c>
    </row>
    <row r="22">
      <c r="A22">
        <v>22</v>
      </c>
      <c r="B22">
        <f>A22*2</f>
        <v>44</v>
      </c>
      <c r="C22">
        <f>Budget!B$7+A22</f>
        <v>2857</v>
      </c>
    </row>
    <row r="23">
      <c r="A23">
        <v>23</v>
      </c>
      <c r="B23">
        <f>A23*2</f>
        <v>46</v>
      </c>
      <c r="C23">
        <f>Budget!B$7+A23</f>
        <v>2858</v>
      </c>
    </row>
    <row r="24">
      <c r="A24">
        <v>24</v>
      </c>
      <c r="B24">
        <f>A24*2</f>
        <v>48</v>
      </c>
      <c r="C24">
        <f>Budget!B$7+A24</f>
        <v>2859</v>
      </c>
    </row>
    <row r="25">
      <c r="A25">
        <v>25</v>
      </c>
      <c r="B25">
        <f>A25*2</f>
        <v>50</v>
      </c>
      <c r="C25">
        <f>Budget!B$7+A25</f>
        <v>2860</v>
      </c>
    </row>
    <row r="26">
      <c r="A26">
        <v>26</v>
      </c>
      <c r="B26">
        <f>A26*2</f>
        <v>52</v>
      </c>
      <c r="C26">
        <f>Budget!B$7+A26</f>
        <v>2861</v>
      </c>
    </row>
    <row r="27">
      <c r="A27">
        <v>27</v>
      </c>
      <c r="B27">
        <f>A27*2</f>
        <v>54</v>
      </c>
      <c r="C27">
        <f>Budget!B$7+A27</f>
        <v>2862</v>
      </c>
    </row>
    <row r="28">
      <c r="A28">
        <v>28</v>
      </c>
      <c r="B28">
        <f>A28*2</f>
        <v>56</v>
      </c>
      <c r="C28">
        <f>Budget!B$7+A28</f>
        <v>2863</v>
      </c>
    </row>
    <row r="29">
      <c r="A29">
        <v>29</v>
      </c>
      <c r="B29">
        <f>A29*2</f>
        <v>58</v>
      </c>
      <c r="C29">
        <f>Budget!B$7+A29</f>
        <v>2864</v>
      </c>
    </row>
    <row r="30">
      <c r="A30">
        <v>30</v>
      </c>
      <c r="B30">
        <f>A30*2</f>
        <v>60</v>
      </c>
      <c r="C30">
        <f>Budget!B$7+A30</f>
        <v>2865</v>
      </c>
    </row>
    <row r="31">
      <c r="A31">
        <v>31</v>
      </c>
      <c r="B31">
        <f>A31*2</f>
        <v>62</v>
      </c>
      <c r="C31">
        <f>Budget!B$7+A31</f>
        <v>2866</v>
      </c>
    </row>
    <row r="32">
      <c r="A32">
        <v>32</v>
      </c>
      <c r="B32">
        <f>A32*2</f>
        <v>64</v>
      </c>
      <c r="C32">
        <f>Budget!B$7+A32</f>
        <v>2867</v>
      </c>
    </row>
    <row r="33">
      <c r="A33">
        <v>33</v>
      </c>
      <c r="B33">
        <f>A33*2</f>
        <v>66</v>
      </c>
      <c r="C33">
        <f>Budget!B$7+A33</f>
        <v>2868</v>
      </c>
    </row>
    <row r="34">
      <c r="A34">
        <v>34</v>
      </c>
      <c r="B34">
        <f>A34*2</f>
        <v>68</v>
      </c>
      <c r="C34">
        <f>Budget!B$7+A34</f>
        <v>2869</v>
      </c>
    </row>
    <row r="35">
      <c r="A35">
        <v>35</v>
      </c>
      <c r="B35">
        <f>A35*2</f>
        <v>70</v>
      </c>
      <c r="C35">
        <f>Budget!B$7+A35</f>
        <v>2870</v>
      </c>
    </row>
    <row r="36">
      <c r="A36">
        <v>36</v>
      </c>
      <c r="B36">
        <f>A36*2</f>
        <v>72</v>
      </c>
      <c r="C36">
        <f>Budget!B$7+A36</f>
        <v>2871</v>
      </c>
    </row>
    <row r="37">
      <c r="A37">
        <v>37</v>
      </c>
      <c r="B37">
        <f>A37*2</f>
        <v>74</v>
      </c>
      <c r="C37">
        <f>Budget!B$7+A37</f>
        <v>2872</v>
      </c>
    </row>
    <row r="38">
      <c r="A38">
        <v>38</v>
      </c>
      <c r="B38">
        <f>A38*2</f>
        <v>76</v>
      </c>
      <c r="C38">
        <f>Budget!B$7+A38</f>
        <v>2873</v>
      </c>
    </row>
    <row r="39">
      <c r="A39">
        <v>39</v>
      </c>
      <c r="B39">
        <f>A39*2</f>
        <v>78</v>
      </c>
      <c r="C39">
        <f>Budget!B$7+A39</f>
        <v>2874</v>
      </c>
    </row>
    <row r="40">
      <c r="A40">
        <v>40</v>
      </c>
      <c r="B40">
        <f>A40*2</f>
        <v>80</v>
      </c>
      <c r="C40">
        <f>Budget!B$7+A40</f>
        <v>2875</v>
      </c>
    </row>
    <row r="41">
      <c r="A41">
        <v>41</v>
      </c>
      <c r="B41">
        <f>A41*2</f>
        <v>82</v>
      </c>
      <c r="C41">
        <f>Budget!B$7+A41</f>
        <v>2876</v>
      </c>
    </row>
    <row r="42">
      <c r="A42">
        <v>42</v>
      </c>
      <c r="B42">
        <f>A42*2</f>
        <v>84</v>
      </c>
      <c r="C42">
        <f>Budget!B$7+A42</f>
        <v>2877</v>
      </c>
    </row>
    <row r="43">
      <c r="A43">
        <v>43</v>
      </c>
      <c r="B43">
        <f>A43*2</f>
        <v>86</v>
      </c>
      <c r="C43">
        <f>Budget!B$7+A43</f>
        <v>2878</v>
      </c>
    </row>
    <row r="44">
      <c r="A44">
        <v>44</v>
      </c>
      <c r="B44">
        <f>A44*2</f>
        <v>88</v>
      </c>
      <c r="C44">
        <f>Budget!B$7+A44</f>
        <v>2879</v>
      </c>
    </row>
    <row r="45">
      <c r="A45">
        <v>45</v>
      </c>
      <c r="B45">
        <f>A45*2</f>
        <v>90</v>
      </c>
      <c r="C45">
        <f>Budget!B$7+A45</f>
        <v>2880</v>
      </c>
    </row>
    <row r="46">
      <c r="A46">
        <v>46</v>
      </c>
      <c r="B46">
        <f>A46*2</f>
        <v>92</v>
      </c>
      <c r="C46">
        <f>Budget!B$7+A46</f>
        <v>2881</v>
      </c>
    </row>
    <row r="47">
      <c r="A47">
        <v>47</v>
      </c>
      <c r="B47">
        <f>A47*2</f>
        <v>94</v>
      </c>
      <c r="C47">
        <f>Budget!B$7+A47</f>
        <v>2882</v>
      </c>
    </row>
    <row r="48">
      <c r="A48">
        <v>48</v>
      </c>
      <c r="B48">
        <f>A48*2</f>
        <v>96</v>
      </c>
      <c r="C48">
        <f>Budget!B$7+A48</f>
        <v>2883</v>
      </c>
    </row>
    <row r="49">
      <c r="A49">
        <v>49</v>
      </c>
      <c r="B49">
        <f>A49*2</f>
        <v>98</v>
      </c>
      <c r="C49">
        <f>Budget!B$7+A49</f>
        <v>2884</v>
      </c>
    </row>
    <row r="50">
      <c r="A50">
        <v>50</v>
      </c>
      <c r="B50">
        <f>A50*2</f>
        <v>100</v>
      </c>
      <c r="C50">
        <f>Budget!B$7+A50</f>
        <v>2885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>
        <f>'Données 2026'!E2*2</f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2026-10-03T12:27:46Z</dcterms:created>
  <dc:creator>openpyxl</dc:creator>
  <dc:description/>
  <dc:language>en-US</dc:language>
  <cp:lastModifiedBy/>
  <dcterms:modified xsi:type="dcterms:W3CDTF">2026-10-03T12:27:46Z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