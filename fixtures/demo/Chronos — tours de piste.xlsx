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ésultats" sheetId="1" r:id="rId1"/>
    <sheet xmlns:r="http://schemas.openxmlformats.org/officeDocument/2006/relationships" name="Tours" sheetId="2" r:id="rId2"/>
  </sheets>
  <calcPr calcId="124519" fullCalcOnLoad="1"/>
</workbook>
</file>

<file path=xl/sharedStrings.xml><?xml version="1.0" encoding="utf-8"?>
<sst xmlns="http://schemas.openxmlformats.org/spreadsheetml/2006/main" count="38" uniqueCount="19">
  <si>
    <t>Coureur</t>
  </si>
  <si>
    <t>Meilleur tour</t>
  </si>
  <si>
    <t>Moyenne</t>
  </si>
  <si>
    <t>Écart au meilleur</t>
  </si>
  <si>
    <t>Rang</t>
  </si>
  <si>
    <t>En bref</t>
  </si>
  <si>
    <t>Léa</t>
  </si>
  <si>
    <t>Tour le plus rapide (s)</t>
  </si>
  <si>
    <t>Samuel</t>
  </si>
  <si>
    <t>Par</t>
  </si>
  <si>
    <t>Maya</t>
  </si>
  <si>
    <t>Tours enregistrés</t>
  </si>
  <si>
    <t>Noah</t>
  </si>
  <si>
    <t>Moyenne du groupe (s)</t>
  </si>
  <si>
    <t>Zoé</t>
  </si>
  <si>
    <t>Félix</t>
  </si>
  <si>
    <t>Tour</t>
  </si>
  <si>
    <t>Temps (s)</t>
  </si>
  <si>
    <t>Date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</si>
</sst>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+0.0;-0.0;&quot;—&quot;"/>
  </numFmts>
  <fonts count="2">
    <font>
      <name val="Calibri"/>
      <family val="2"/>
      <color theme="1"/>
      <sz val="11"/>
      <scheme val="minor"/>
    </font>
    <font>
      <b val="1"/>
      <color rgb="0034333D"/>
    </font>
  </fonts>
  <fills count="3">
    <fill>
      <patternFill/>
    </fill>
    <fill>
      <patternFill patternType="gray125"/>
    </fill>
    <fill>
      <patternFill patternType="solid">
        <fgColor rgb="00EDE8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Oel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/>
            </a:pPr>
            <a:r>
              <a:rPr/>
              <a:t>Meilleur tour par coureur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'Résultats'!B1</c:f>
              <c:strCache>
                <c:ptCount val="1"/>
                <c:pt idx="0">
                  <c:v>Meilleur tour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'Résultats'!$A$2:$A$7</c:f>
              <c:strCache>
                <c:ptCount val="6"/>
                <c:pt idx="0">
                  <c:v>Léa</c:v>
                </c:pt>
                <c:pt idx="1">
                  <c:v>Samuel</c:v>
                </c:pt>
                <c:pt idx="2">
                  <c:v>Maya</c:v>
                </c:pt>
                <c:pt idx="3">
                  <c:v>Noah</c:v>
                </c:pt>
                <c:pt idx="4">
                  <c:v>Zoé</c:v>
                </c:pt>
                <c:pt idx="5">
                  <c:v>Félix</c:v>
                </c:pt>
              </c:strCache>
            </c:strRef>
          </c:cat>
          <c:val>
            <c:numRef>
              <c:f>'Résultats'!$B$2:$B$7</c:f>
              <c:numCache>
                <c:formatCode>General</c:formatCode>
                <c:ptCount val="6"/>
                <c:pt idx="0">
                  <c:v>59.8</c:v>
                </c:pt>
                <c:pt idx="1">
                  <c:v>64.9</c:v>
                </c:pt>
                <c:pt idx="2">
                  <c:v>58.1</c:v>
                </c:pt>
                <c:pt idx="3">
                  <c:v>68.8</c:v>
                </c:pt>
                <c:pt idx="4">
                  <c:v>61.7</c:v>
                </c:pt>
                <c:pt idx="5">
                  <c:v>72.9</c:v>
                </c:pt>
              </c:numCache>
            </c:numRef>
          </c:val>
        </c:ser>
        <c:ser>
          <c:idx val="1"/>
          <c:order val="1"/>
          <c:tx>
            <c:strRef>
              <c:f>'Résultats'!C1</c:f>
              <c:strCache>
                <c:ptCount val="1"/>
                <c:pt idx="0">
                  <c:v>Moyenne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'Résultats'!$A$2:$A$7</c:f>
              <c:strCache>
                <c:ptCount val="6"/>
                <c:pt idx="0">
                  <c:v>Léa</c:v>
                </c:pt>
                <c:pt idx="1">
                  <c:v>Samuel</c:v>
                </c:pt>
                <c:pt idx="2">
                  <c:v>Maya</c:v>
                </c:pt>
                <c:pt idx="3">
                  <c:v>Noah</c:v>
                </c:pt>
                <c:pt idx="4">
                  <c:v>Zoé</c:v>
                </c:pt>
                <c:pt idx="5">
                  <c:v>Félix</c:v>
                </c:pt>
              </c:strCache>
            </c:strRef>
          </c:cat>
          <c:val>
            <c:numRef>
              <c:f>'Résultats'!$C$2:$C$7</c:f>
              <c:numCache>
                <c:formatCode>General</c:formatCode>
                <c:ptCount val="6"/>
                <c:pt idx="0">
                  <c:v>60.46666666666666</c:v>
                </c:pt>
                <c:pt idx="1">
                  <c:v>65.43333333333334</c:v>
                </c:pt>
                <c:pt idx="2">
                  <c:v>58.6</c:v>
                </c:pt>
                <c:pt idx="3">
                  <c:v>69.5</c:v>
                </c:pt>
                <c:pt idx="4">
                  <c:v>62.366666666666674</c:v>
                </c:pt>
                <c:pt idx="5">
                  <c:v>73.60000000000001</c:v>
                </c:pt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in val="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/>
                  <a:t>Secondes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7"/>
  <sheetViews>
    <sheetView workbookViewId="0" tabSelected="1">
      <selection activeCell="A1" sqref="A1"/>
    </sheetView>
  </sheetViews>
  <sheetFormatPr baseColWidth="8" defaultRowHeight="15"/>
  <cols>
    <col min="1" max="1" width="14" customWidth="1"/>
    <col min="2" max="2" width="14" customWidth="1"/>
    <col min="3" max="3" width="11" customWidth="1"/>
    <col min="4" max="4" width="17" customWidth="1"/>
    <col min="5" max="5" width="8" customWidth="1"/>
    <col min="6" max="6" width="3" customWidth="1"/>
    <col min="7" max="7" width="24" customWidth="1"/>
    <col min="8" max="8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/>
    </row>
    <row r="2">
      <c r="A2" t="s">
        <v>6</v>
      </c>
      <c r="B2" s="2">
        <f>_xlfn.MINIFS(Tours!$C$2:$C$19,Tours!$A$2:$A$19,A2)</f>
        <v>59.8</v>
      </c>
      <c r="C2" s="3">
        <f>AVERAGEIFS(Tours!$C$2:$C$19,Tours!$A$2:$A$19,A2)</f>
        <v>60.46666666666666</v>
      </c>
      <c r="D2" s="4">
        <f>B2-MIN($B$2:$B$7)</f>
        <v>1.6999999999999957</v>
      </c>
      <c r="E2" s="5">
        <f>_xlfn.RANK.EQ(B2,$B$2:$B$7,1)</f>
        <v>2</v>
      </c>
      <c r="G2" t="s">
        <v>7</v>
      </c>
      <c r="H2" s="2">
        <f>MIN(Tours!$C$2:$C$19)</f>
        <v>58.1</v>
      </c>
    </row>
    <row r="3">
      <c r="A3" t="s">
        <v>8</v>
      </c>
      <c r="B3" s="2">
        <f>_xlfn.MINIFS(Tours!$C$2:$C$19,Tours!$A$2:$A$19,A3)</f>
        <v>64.9</v>
      </c>
      <c r="C3" s="3">
        <f>AVERAGEIFS(Tours!$C$2:$C$19,Tours!$A$2:$A$19,A3)</f>
        <v>65.43333333333334</v>
      </c>
      <c r="D3" s="4">
        <f>B3-MIN($B$2:$B$7)</f>
        <v>6.800000000000004</v>
      </c>
      <c r="E3" s="5">
        <f>_xlfn.RANK.EQ(B3,$B$2:$B$7,1)</f>
        <v>4</v>
      </c>
      <c r="G3" t="s">
        <v>9</v>
      </c>
      <c r="H3" t="str">
        <f>_xlfn.XLOOKUP(MIN(Tours!$C$2:$C$19),Tours!$C$2:$C$19,Tours!$A$2:$A$19)</f>
        <v>Maya</v>
      </c>
    </row>
    <row r="4">
      <c r="A4" t="s">
        <v>10</v>
      </c>
      <c r="B4" s="2">
        <f>_xlfn.MINIFS(Tours!$C$2:$C$19,Tours!$A$2:$A$19,A4)</f>
        <v>58.1</v>
      </c>
      <c r="C4" s="3">
        <f>AVERAGEIFS(Tours!$C$2:$C$19,Tours!$A$2:$A$19,A4)</f>
        <v>58.6</v>
      </c>
      <c r="D4" s="4">
        <f>B4-MIN($B$2:$B$7)</f>
        <v>0</v>
      </c>
      <c r="E4" s="5">
        <f>_xlfn.RANK.EQ(B4,$B$2:$B$7,1)</f>
        <v>1</v>
      </c>
      <c r="G4" t="s">
        <v>11</v>
      </c>
      <c r="H4" s="6">
        <f>COUNTA(Tours!$A$2:$A$19)</f>
        <v>18</v>
      </c>
    </row>
    <row r="5">
      <c r="A5" t="s">
        <v>12</v>
      </c>
      <c r="B5" s="2">
        <f>_xlfn.MINIFS(Tours!$C$2:$C$19,Tours!$A$2:$A$19,A5)</f>
        <v>68.8</v>
      </c>
      <c r="C5" s="3">
        <f>AVERAGEIFS(Tours!$C$2:$C$19,Tours!$A$2:$A$19,A5)</f>
        <v>69.5</v>
      </c>
      <c r="D5" s="4">
        <f>B5-MIN($B$2:$B$7)</f>
        <v>10.699999999999996</v>
      </c>
      <c r="E5" s="5">
        <f>_xlfn.RANK.EQ(B5,$B$2:$B$7,1)</f>
        <v>5</v>
      </c>
      <c r="G5" t="s">
        <v>13</v>
      </c>
      <c r="H5" s="3">
        <f>AVERAGE(Tours!$C$2:$C$19)</f>
        <v>64.99444444444445</v>
      </c>
    </row>
    <row r="6">
      <c r="A6" t="s">
        <v>14</v>
      </c>
      <c r="B6" s="2">
        <f>_xlfn.MINIFS(Tours!$C$2:$C$19,Tours!$A$2:$A$19,A6)</f>
        <v>61.7</v>
      </c>
      <c r="C6" s="3">
        <f>AVERAGEIFS(Tours!$C$2:$C$19,Tours!$A$2:$A$19,A6)</f>
        <v>62.366666666666674</v>
      </c>
      <c r="D6" s="4">
        <f>B6-MIN($B$2:$B$7)</f>
        <v>3.6000000000000014</v>
      </c>
      <c r="E6" s="5">
        <f>_xlfn.RANK.EQ(B6,$B$2:$B$7,1)</f>
        <v>3</v>
      </c>
    </row>
    <row r="7">
      <c r="A7" t="s">
        <v>15</v>
      </c>
      <c r="B7" s="2">
        <f>_xlfn.MINIFS(Tours!$C$2:$C$19,Tours!$A$2:$A$19,A7)</f>
        <v>72.9</v>
      </c>
      <c r="C7" s="3">
        <f>AVERAGEIFS(Tours!$C$2:$C$19,Tours!$A$2:$A$19,A7)</f>
        <v>73.60000000000001</v>
      </c>
      <c r="D7" s="4">
        <f>B7-MIN($B$2:$B$7)</f>
        <v>14.800000000000004</v>
      </c>
      <c r="E7" s="5">
        <f>_xlfn.RANK.EQ(B7,$B$2:$B$7,1)</f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14" customWidth="1"/>
    <col min="2" max="2" width="8" customWidth="1"/>
    <col min="3" max="3" width="12" customWidth="1"/>
    <col min="4" max="4" width="13" customWidth="1"/>
  </cols>
  <sheetData>
    <row r="1">
      <c r="A1" s="1" t="s">
        <v>0</v>
      </c>
      <c r="B1" s="1" t="s">
        <v>16</v>
      </c>
      <c r="C1" s="1" t="s">
        <v>17</v>
      </c>
      <c r="D1" s="1" t="s">
        <v>18</v>
      </c>
    </row>
    <row r="2">
      <c r="A2" t="s">
        <v>6</v>
      </c>
      <c r="B2">
        <v>1</v>
      </c>
      <c r="C2" s="2">
        <v>61.4</v>
      </c>
      <c r="D2" s="7">
        <v>46296</v>
      </c>
    </row>
    <row r="3">
      <c r="A3" t="s">
        <v>6</v>
      </c>
      <c r="B3">
        <v>2</v>
      </c>
      <c r="C3" s="2">
        <v>60.2</v>
      </c>
      <c r="D3" s="7">
        <v>46298</v>
      </c>
    </row>
    <row r="4">
      <c r="A4" t="s">
        <v>6</v>
      </c>
      <c r="B4">
        <v>3</v>
      </c>
      <c r="C4" s="2">
        <v>59.8</v>
      </c>
      <c r="D4" s="7">
        <v>46301</v>
      </c>
    </row>
    <row r="5">
      <c r="A5" t="s">
        <v>8</v>
      </c>
      <c r="B5">
        <v>1</v>
      </c>
      <c r="C5" s="2">
        <v>66.1</v>
      </c>
      <c r="D5" s="7">
        <v>46296</v>
      </c>
    </row>
    <row r="6">
      <c r="A6" t="s">
        <v>8</v>
      </c>
      <c r="B6">
        <v>2</v>
      </c>
      <c r="C6" s="2">
        <v>64.9</v>
      </c>
      <c r="D6" s="7">
        <v>46298</v>
      </c>
    </row>
    <row r="7">
      <c r="A7" t="s">
        <v>8</v>
      </c>
      <c r="B7">
        <v>3</v>
      </c>
      <c r="C7" s="2">
        <v>65.3</v>
      </c>
      <c r="D7" s="7">
        <v>46301</v>
      </c>
    </row>
    <row r="8">
      <c r="A8" t="s">
        <v>10</v>
      </c>
      <c r="B8">
        <v>1</v>
      </c>
      <c r="C8" s="2">
        <v>58.7</v>
      </c>
      <c r="D8" s="7">
        <v>46296</v>
      </c>
    </row>
    <row r="9">
      <c r="A9" t="s">
        <v>10</v>
      </c>
      <c r="B9">
        <v>2</v>
      </c>
      <c r="C9" s="2">
        <v>58.1</v>
      </c>
      <c r="D9" s="7">
        <v>46298</v>
      </c>
    </row>
    <row r="10">
      <c r="A10" t="s">
        <v>10</v>
      </c>
      <c r="B10">
        <v>3</v>
      </c>
      <c r="C10" s="2">
        <v>59</v>
      </c>
      <c r="D10" s="7">
        <v>46301</v>
      </c>
    </row>
    <row r="11">
      <c r="A11" t="s">
        <v>12</v>
      </c>
      <c r="B11">
        <v>1</v>
      </c>
      <c r="C11" s="2">
        <v>70.2</v>
      </c>
      <c r="D11" s="7">
        <v>46296</v>
      </c>
    </row>
    <row r="12">
      <c r="A12" t="s">
        <v>12</v>
      </c>
      <c r="B12">
        <v>2</v>
      </c>
      <c r="C12" s="2">
        <v>68.8</v>
      </c>
      <c r="D12" s="7">
        <v>46298</v>
      </c>
    </row>
    <row r="13">
      <c r="A13" t="s">
        <v>12</v>
      </c>
      <c r="B13">
        <v>3</v>
      </c>
      <c r="C13" s="2">
        <v>69.5</v>
      </c>
      <c r="D13" s="7">
        <v>46301</v>
      </c>
    </row>
    <row r="14">
      <c r="A14" t="s">
        <v>14</v>
      </c>
      <c r="B14">
        <v>1</v>
      </c>
      <c r="C14" s="2">
        <v>63</v>
      </c>
      <c r="D14" s="7">
        <v>46296</v>
      </c>
    </row>
    <row r="15">
      <c r="A15" t="s">
        <v>14</v>
      </c>
      <c r="B15">
        <v>2</v>
      </c>
      <c r="C15" s="2">
        <v>62.4</v>
      </c>
      <c r="D15" s="7">
        <v>46298</v>
      </c>
    </row>
    <row r="16">
      <c r="A16" t="s">
        <v>14</v>
      </c>
      <c r="B16">
        <v>3</v>
      </c>
      <c r="C16" s="2">
        <v>61.7</v>
      </c>
      <c r="D16" s="7">
        <v>46301</v>
      </c>
    </row>
    <row r="17">
      <c r="A17" t="s">
        <v>15</v>
      </c>
      <c r="B17">
        <v>1</v>
      </c>
      <c r="C17" s="2">
        <v>74.6</v>
      </c>
      <c r="D17" s="7">
        <v>46296</v>
      </c>
    </row>
    <row r="18">
      <c r="A18" t="s">
        <v>15</v>
      </c>
      <c r="B18">
        <v>2</v>
      </c>
      <c r="C18" s="2">
        <v>72.9</v>
      </c>
      <c r="D18" s="7">
        <v>46298</v>
      </c>
    </row>
    <row r="19">
      <c r="A19" t="s">
        <v>15</v>
      </c>
      <c r="B19">
        <v>3</v>
      </c>
      <c r="C19" s="2">
        <v>73.3</v>
      </c>
      <c r="D19" s="7">
        <v>46301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OutilsEnLigne</dc:creator>
  <dcterms:created xmlns:dcterms="http://purl.org/dc/terms/" xmlns:xsi="http://www.w3.org/2001/XMLSchema-instance" xsi:type="dcterms:W3CDTF">2026-10-11T09:00:00Z</dcterms:created>
  <dcterms:modified xmlns:dcterms="http://purl.org/dc/terms/" xmlns:xsi="http://www.w3.org/2001/XMLSchema-instance" xsi:type="dcterms:W3CDTF">2026-10-11T21:57:26Z</dcterms:modified>
</cp:coreProperties>
</file>