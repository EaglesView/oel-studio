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  <sheet name="Données" sheetId="2" state="visible" r:id="rId4"/>
    <sheet name="Caché" sheetId="3" state="hidden" r:id="rId5"/>
  </sheets>
  <definedNames>
    <definedName function="false" hidden="true" localSheetId="0" name="_xlnm._FilterDatabase" vbProcedure="false">Budget!$A$1:$E$5</definedName>
    <definedName function="false" hidden="false" name="Montants" vbProcedure="false">Budget!$B$2:$B$5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JB</author>
  </authors>
  <commentList>
    <comment ref="A3" authorId="0">
      <text>
        <r>
          <rPr>
            <sz val="10"/>
            <rFont val="Arial"/>
            <family val="2"/>
          </rPr>
          <t xml:space="preserve">Note de test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<sst xmlns="http://schemas.openxmlformats.org/spreadsheetml/2006/main" count="22" uniqueCount="22">
  <si>
    <t xml:space="preserve">Poste</t>
  </si>
  <si>
    <t xml:space="preserve">Montant</t>
  </si>
  <si>
    <t xml:space="preserve">Part</t>
  </si>
  <si>
    <t xml:space="preserve">Date</t>
  </si>
  <si>
    <t xml:space="preserve">Code</t>
  </si>
  <si>
    <t xml:space="preserve">Loyer</t>
  </si>
  <si>
    <t xml:space="preserve">007</t>
  </si>
  <si>
    <t xml:space="preserve">Épicerie</t>
  </si>
  <si>
    <t xml:space="preserve">012</t>
  </si>
  <si>
    <t xml:space="preserve">Transport</t>
  </si>
  <si>
    <t xml:space="preserve">100</t>
  </si>
  <si>
    <t xml:space="preserve">Café « bio »</t>
  </si>
  <si>
    <t xml:space="preserve">003</t>
  </si>
  <si>
    <t xml:space="preserve">Total</t>
  </si>
  <si>
    <t xml:space="preserve">Moyenne</t>
  </si>
  <si>
    <t xml:space="preserve">Max</t>
  </si>
  <si>
    <t xml:space="preserve">Texte</t>
  </si>
  <si>
    <t xml:space="preserve">Vrai</t>
  </si>
  <si>
    <t xml:space="preserve">Erreur</t>
  </si>
  <si>
    <t xml:space="preserve">Multi
ligne</t>
  </si>
  <si>
    <t xml:space="preserve">Cellules fusionnées</t>
  </si>
  <si>
    <t xml:space="preserve">secret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</si>
</sst>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$&quot;"/>
    <numFmt numFmtId="166" formatCode="0.0%"/>
    <numFmt numFmtId="167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2"/>
      <color theme="10"/>
      <name val="Calibri"/>
      <family val="2"/>
      <charset val="1"/>
    </font>
    <font>
      <i val="true"/>
      <u val="single"/>
      <sz val="11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5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1">
    <dxf>
      <fill>
        <patternFill patternType="solid">
          <fgColor rgb="FF1F6F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A5C5BE"/>
          <bgColor rgb="FF000000"/>
        </patternFill>
      </fill>
    </dxf>
    <dxf>
      <fill>
        <patternFill patternType="solid">
          <fgColor rgb="FFEAF1F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F6F5C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Montants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Budget!B1</c:f>
              <c:strCache>
                <c:ptCount val="1"/>
                <c:pt idx="0">
                  <c:v>Montant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Budget!$A$2:$A$5</c:f>
              <c:strCache>
                <c:ptCount val="4"/>
                <c:pt idx="0">
                  <c:v>Loyer</c:v>
                </c:pt>
                <c:pt idx="1">
                  <c:v>Épicerie</c:v>
                </c:pt>
                <c:pt idx="2">
                  <c:v>Transport</c:v>
                </c:pt>
                <c:pt idx="3">
                  <c:v>Café « bio »</c:v>
                </c:pt>
              </c:strCache>
            </c:strRef>
          </c:cat>
          <c:val>
            <c:numRef>
              <c:f>Budget!$B$2:$B$5</c:f>
              <c:numCache>
                <c:formatCode>#,##0.00" $"</c:formatCode>
                <c:ptCount val="4"/>
                <c:pt idx="0">
                  <c:v>1450.5</c:v>
                </c:pt>
                <c:pt idx="1">
                  <c:v>612.25</c:v>
                </c:pt>
                <c:pt idx="2">
                  <c:v>180</c:v>
                </c:pt>
                <c:pt idx="3">
                  <c:v>42.75</c:v>
                </c:pt>
              </c:numCache>
            </c:numRef>
          </c:val>
        </c:ser>
        <c:gapWidth val="150"/>
        <c:overlap val="0"/>
        <c:axId val="67739862"/>
        <c:axId val="56965399"/>
      </c:barChart>
      <c:catAx>
        <c:axId val="67739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965399"/>
        <c:crosses val="autoZero"/>
        <c:auto val="1"/>
        <c:lblAlgn val="ctr"/>
        <c:lblOffset val="100"/>
        <c:noMultiLvlLbl val="0"/>
      </c:catAx>
      <c:valAx>
        <c:axId val="569653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$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7398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15</xdr:col>
      <xdr:colOff>507600</xdr:colOff>
      <xdr:row>14</xdr:row>
      <xdr:rowOff>13680</xdr:rowOff>
    </xdr:to>
    <xdr:graphicFrame>
      <xdr:nvGraphicFramePr>
        <xdr:cNvPr id="1" name="Chart 1"/>
        <xdr:cNvGraphicFramePr/>
      </xdr:nvGraphicFramePr>
      <xdr:xfrm>
        <a:off x="498348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outilsenligne.ca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5C"/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true" outlineLevel="0" max="5" min="5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1450.5</v>
      </c>
      <c r="C2" s="4" t="n">
        <f aca="false">B2/$B$7</f>
        <v>0.63465324874207</v>
      </c>
      <c r="D2" s="5" t="n">
        <v>46023</v>
      </c>
      <c r="E2" s="0" t="s">
        <v>6</v>
      </c>
    </row>
    <row r="3" customFormat="false" ht="15" hidden="false" customHeight="false" outlineLevel="0" collapsed="false">
      <c r="A3" s="6" t="s">
        <v>7</v>
      </c>
      <c r="B3" s="3" t="n">
        <v>612.25</v>
      </c>
      <c r="C3" s="4" t="n">
        <f aca="false">B3/$B$7</f>
        <v>0.26788448917086</v>
      </c>
      <c r="D3" s="5" t="n">
        <v>46025</v>
      </c>
      <c r="E3" s="0" t="s">
        <v>8</v>
      </c>
    </row>
    <row r="4" customFormat="false" ht="15" hidden="false" customHeight="false" outlineLevel="0" collapsed="false">
      <c r="A4" s="6" t="s">
        <v>9</v>
      </c>
      <c r="B4" s="3" t="n">
        <v>180</v>
      </c>
      <c r="C4" s="4" t="n">
        <f aca="false">B4/$B$7</f>
        <v>0.0787573835047036</v>
      </c>
      <c r="D4" s="5" t="n">
        <v>46027</v>
      </c>
      <c r="E4" s="0" t="s">
        <v>10</v>
      </c>
    </row>
    <row r="5" customFormat="false" ht="15" hidden="false" customHeight="false" outlineLevel="0" collapsed="false">
      <c r="A5" s="6" t="s">
        <v>11</v>
      </c>
      <c r="B5" s="3" t="n">
        <v>42.75</v>
      </c>
      <c r="C5" s="4" t="n">
        <f aca="false">B5/$B$7</f>
        <v>0.0187048785823671</v>
      </c>
      <c r="D5" s="5" t="n">
        <v>46031</v>
      </c>
      <c r="E5" s="0" t="s">
        <v>12</v>
      </c>
    </row>
    <row r="6" customFormat="false" ht="15" hidden="false" customHeight="false" outlineLevel="0" collapsed="false">
      <c r="B6" s="3"/>
      <c r="C6" s="4"/>
    </row>
    <row r="7" customFormat="false" ht="15" hidden="false" customHeight="false" outlineLevel="0" collapsed="false">
      <c r="A7" s="7" t="s">
        <v>13</v>
      </c>
      <c r="B7" s="8" t="n">
        <f aca="false">SUM(B2:B5)</f>
        <v>2285.5</v>
      </c>
      <c r="C7" s="9" t="n">
        <f aca="false">SUM(C2:C5)</f>
        <v>1</v>
      </c>
    </row>
    <row r="8" customFormat="false" ht="15" hidden="false" customHeight="false" outlineLevel="0" collapsed="false">
      <c r="A8" s="0" t="s">
        <v>14</v>
      </c>
      <c r="B8" s="3" t="n">
        <f aca="false">AVERAGE(B2:B5)</f>
        <v>571.375</v>
      </c>
    </row>
    <row r="9" customFormat="false" ht="15" hidden="false" customHeight="false" outlineLevel="0" collapsed="false">
      <c r="A9" s="0" t="s">
        <v>15</v>
      </c>
      <c r="B9" s="3" t="n">
        <f aca="false">MAX(Montants)</f>
        <v>1450.5</v>
      </c>
    </row>
    <row r="10" customFormat="false" ht="15" hidden="false" customHeight="false" outlineLevel="0" collapsed="false">
      <c r="A10" s="0" t="s">
        <v>16</v>
      </c>
      <c r="B10" s="0" t="str">
        <f aca="false">CONCATENATE(A2," : ",TEXT(B2,"0.00"))</f>
        <v>Loyer : 1450.50</v>
      </c>
    </row>
    <row r="11" customFormat="false" ht="15" hidden="false" customHeight="false" outlineLevel="0" collapsed="false">
      <c r="A11" s="0" t="s">
        <v>17</v>
      </c>
      <c r="B11" s="10" t="b">
        <f aca="false">TRUE()</f>
        <v>1</v>
      </c>
    </row>
    <row r="12" customFormat="false" ht="15" hidden="false" customHeight="false" outlineLevel="0" collapsed="false">
      <c r="A12" s="0" t="s">
        <v>18</v>
      </c>
      <c r="B12" s="0" t="e">
        <f aca="false">1/0</f>
        <v>#DIV/0!</v>
      </c>
    </row>
    <row r="13" customFormat="false" ht="31.5" hidden="false" customHeight="true" outlineLevel="0" collapsed="false">
      <c r="A13" s="11" t="s">
        <v>19</v>
      </c>
    </row>
    <row r="15" customFormat="false" ht="15" hidden="false" customHeight="false" outlineLevel="0" collapsed="false">
      <c r="A15" s="12" t="s">
        <v>20</v>
      </c>
      <c r="B15" s="12"/>
      <c r="C15" s="12"/>
    </row>
  </sheetData>
  <autoFilter ref="A1:E5"/>
  <mergeCells count="1">
    <mergeCell ref="A15:C15"/>
  </mergeCells>
  <conditionalFormatting sqref="B2:B5">
    <cfRule type="cellIs" priority="2" operator="greaterThan" aboveAverage="0" equalAverage="0" bottom="0" percent="0" rank="0" text="" dxfId="9">
      <formula>500</formula>
    </cfRule>
    <cfRule type="dataBar" priority="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{B3639199-99DC-4FE3-A2F0-648035DC702A}</x14:id>
        </ext>
      </extLst>
    </cfRule>
  </conditionalFormatting>
  <conditionalFormatting sqref="C2:C5">
    <cfRule type="colorScale" priority="4">
      <colorScale>
        <cfvo type="min" val="0"/>
        <cfvo type="max" val="0"/>
        <color rgb="FFFFFFFF"/>
        <color rgb="FF1F6F5C"/>
      </colorScale>
    </cfRule>
  </conditionalFormatting>
  <conditionalFormatting sqref="A2:A5">
    <cfRule type="expression" priority="5" aboveAverage="0" equalAverage="0" bottom="0" percent="0" rank="0" text="" dxfId="10">
      <formula>LEN(A2)&gt;8</formula>
    </cfRule>
  </conditionalFormatting>
  <dataValidations count="1">
    <dataValidation allowBlank="true" errorStyle="stop" operator="between" showDropDown="false" showErrorMessage="false" showInputMessage="false" sqref="F2:F5" type="list">
      <formula1>"Oui,Non,Peut-être"</formula1>
      <formula2>0</formula2>
    </dataValidation>
  </dataValidations>
  <hyperlinks>
    <hyperlink ref="A2" r:id="rId2" display="Loy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639199-99DC-4FE3-A2F0-648035DC702A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B2:B5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f aca="false">A1*2</f>
        <v>2</v>
      </c>
      <c r="C1" s="0" t="n">
        <f aca="false">Budget!B$7+A1</f>
        <v>2286.5</v>
      </c>
      <c r="E1" s="0" t="n">
        <f aca="false">SUMPRODUCT(A1:A50,B1:B50)</f>
        <v>85850</v>
      </c>
    </row>
    <row r="2" customFormat="false" ht="15" hidden="false" customHeight="false" outlineLevel="0" collapsed="false">
      <c r="A2" s="0" t="n">
        <v>2</v>
      </c>
      <c r="B2" s="0" t="n">
        <f aca="false">A2*2</f>
        <v>4</v>
      </c>
      <c r="C2" s="0" t="n">
        <f aca="false">Budget!B$7+A2</f>
        <v>2287.5</v>
      </c>
      <c r="E2" s="0" t="n">
        <f aca="false">VLOOKUP(10,A1:B50,2,FALSE())</f>
        <v>20</v>
      </c>
    </row>
    <row r="3" customFormat="false" ht="15" hidden="false" customHeight="false" outlineLevel="0" collapsed="false">
      <c r="A3" s="0" t="n">
        <v>3</v>
      </c>
      <c r="B3" s="0" t="n">
        <f aca="false">A3*2</f>
        <v>6</v>
      </c>
      <c r="C3" s="0" t="n">
        <f aca="false">Budget!B$7+A3</f>
        <v>2288.5</v>
      </c>
      <c r="E3" s="0" t="n">
        <f aca="false">IFERROR(INDEX(B1:B50,MATCH(25,A1:A50,0)),"?")</f>
        <v>50</v>
      </c>
    </row>
    <row r="4" customFormat="false" ht="15" hidden="false" customHeight="false" outlineLevel="0" collapsed="false">
      <c r="A4" s="0" t="n">
        <v>4</v>
      </c>
      <c r="B4" s="0" t="n">
        <f aca="false">A4*2</f>
        <v>8</v>
      </c>
      <c r="C4" s="0" t="n">
        <f aca="false">Budget!B$7+A4</f>
        <v>2289.5</v>
      </c>
      <c r="E4" s="0" t="n">
        <f aca="false">COUNTIF(A1:A50,"&gt;25")</f>
        <v>25</v>
      </c>
    </row>
    <row r="5" customFormat="false" ht="15" hidden="false" customHeight="false" outlineLevel="0" collapsed="false">
      <c r="A5" s="0" t="n">
        <v>5</v>
      </c>
      <c r="B5" s="0" t="n">
        <f aca="false">A5*2</f>
        <v>10</v>
      </c>
      <c r="C5" s="0" t="n">
        <f aca="false">Budget!B$7+A5</f>
        <v>2290.5</v>
      </c>
      <c r="E5" s="0" t="n">
        <f aca="false">ROUND(PI(),4)</f>
        <v>3.1416</v>
      </c>
    </row>
    <row r="6" customFormat="false" ht="15" hidden="false" customHeight="false" outlineLevel="0" collapsed="false">
      <c r="A6" s="0" t="n">
        <v>6</v>
      </c>
      <c r="B6" s="0" t="n">
        <f aca="false">A6*2</f>
        <v>12</v>
      </c>
      <c r="C6" s="0" t="n">
        <f aca="false">Budget!B$7+A6</f>
        <v>2291.5</v>
      </c>
      <c r="E6" s="0" t="str">
        <f aca="false">IF(E5&gt;3,"grand","petit")</f>
        <v>grand</v>
      </c>
    </row>
    <row r="7" customFormat="false" ht="15" hidden="false" customHeight="false" outlineLevel="0" collapsed="false">
      <c r="A7" s="0" t="n">
        <v>7</v>
      </c>
      <c r="B7" s="0" t="n">
        <f aca="false">A7*2</f>
        <v>14</v>
      </c>
      <c r="C7" s="0" t="n">
        <f aca="false">Budget!B$7+A7</f>
        <v>2292.5</v>
      </c>
    </row>
    <row r="8" customFormat="false" ht="15" hidden="false" customHeight="false" outlineLevel="0" collapsed="false">
      <c r="A8" s="0" t="n">
        <v>8</v>
      </c>
      <c r="B8" s="0" t="n">
        <f aca="false">A8*2</f>
        <v>16</v>
      </c>
      <c r="C8" s="0" t="n">
        <f aca="false">Budget!B$7+A8</f>
        <v>2293.5</v>
      </c>
    </row>
    <row r="9" customFormat="false" ht="15" hidden="false" customHeight="false" outlineLevel="0" collapsed="false">
      <c r="A9" s="0" t="n">
        <v>9</v>
      </c>
      <c r="B9" s="0" t="n">
        <f aca="false">A9*2</f>
        <v>18</v>
      </c>
      <c r="C9" s="0" t="n">
        <f aca="false">Budget!B$7+A9</f>
        <v>2294.5</v>
      </c>
    </row>
    <row r="10" customFormat="false" ht="15" hidden="false" customHeight="false" outlineLevel="0" collapsed="false">
      <c r="A10" s="0" t="n">
        <v>10</v>
      </c>
      <c r="B10" s="0" t="n">
        <f aca="false">A10*2</f>
        <v>20</v>
      </c>
      <c r="C10" s="0" t="n">
        <f aca="false">Budget!B$7+A10</f>
        <v>2295.5</v>
      </c>
    </row>
    <row r="11" customFormat="false" ht="15" hidden="false" customHeight="false" outlineLevel="0" collapsed="false">
      <c r="A11" s="0" t="n">
        <v>11</v>
      </c>
      <c r="B11" s="0" t="n">
        <f aca="false">A11*2</f>
        <v>22</v>
      </c>
      <c r="C11" s="0" t="n">
        <f aca="false">Budget!B$7+A11</f>
        <v>2296.5</v>
      </c>
    </row>
    <row r="12" customFormat="false" ht="15" hidden="false" customHeight="false" outlineLevel="0" collapsed="false">
      <c r="A12" s="0" t="n">
        <v>12</v>
      </c>
      <c r="B12" s="0" t="n">
        <f aca="false">A12*2</f>
        <v>24</v>
      </c>
      <c r="C12" s="0" t="n">
        <f aca="false">Budget!B$7+A12</f>
        <v>2297.5</v>
      </c>
    </row>
    <row r="13" customFormat="false" ht="15" hidden="false" customHeight="false" outlineLevel="0" collapsed="false">
      <c r="A13" s="0" t="n">
        <v>13</v>
      </c>
      <c r="B13" s="0" t="n">
        <f aca="false">A13*2</f>
        <v>26</v>
      </c>
      <c r="C13" s="0" t="n">
        <f aca="false">Budget!B$7+A13</f>
        <v>2298.5</v>
      </c>
    </row>
    <row r="14" customFormat="false" ht="15" hidden="false" customHeight="false" outlineLevel="0" collapsed="false">
      <c r="A14" s="0" t="n">
        <v>14</v>
      </c>
      <c r="B14" s="0" t="n">
        <f aca="false">A14*2</f>
        <v>28</v>
      </c>
      <c r="C14" s="0" t="n">
        <f aca="false">Budget!B$7+A14</f>
        <v>2299.5</v>
      </c>
    </row>
    <row r="15" customFormat="false" ht="15" hidden="false" customHeight="false" outlineLevel="0" collapsed="false">
      <c r="A15" s="0" t="n">
        <v>15</v>
      </c>
      <c r="B15" s="0" t="n">
        <f aca="false">A15*2</f>
        <v>30</v>
      </c>
      <c r="C15" s="0" t="n">
        <f aca="false">Budget!B$7+A15</f>
        <v>2300.5</v>
      </c>
    </row>
    <row r="16" customFormat="false" ht="15" hidden="false" customHeight="false" outlineLevel="0" collapsed="false">
      <c r="A16" s="0" t="n">
        <v>16</v>
      </c>
      <c r="B16" s="0" t="n">
        <f aca="false">A16*2</f>
        <v>32</v>
      </c>
      <c r="C16" s="0" t="n">
        <f aca="false">Budget!B$7+A16</f>
        <v>2301.5</v>
      </c>
    </row>
    <row r="17" customFormat="false" ht="15" hidden="false" customHeight="false" outlineLevel="0" collapsed="false">
      <c r="A17" s="0" t="n">
        <v>17</v>
      </c>
      <c r="B17" s="0" t="n">
        <f aca="false">A17*2</f>
        <v>34</v>
      </c>
      <c r="C17" s="0" t="n">
        <f aca="false">Budget!B$7+A17</f>
        <v>2302.5</v>
      </c>
    </row>
    <row r="18" customFormat="false" ht="15" hidden="false" customHeight="false" outlineLevel="0" collapsed="false">
      <c r="A18" s="0" t="n">
        <v>18</v>
      </c>
      <c r="B18" s="0" t="n">
        <f aca="false">A18*2</f>
        <v>36</v>
      </c>
      <c r="C18" s="0" t="n">
        <f aca="false">Budget!B$7+A18</f>
        <v>2303.5</v>
      </c>
    </row>
    <row r="19" customFormat="false" ht="15" hidden="false" customHeight="false" outlineLevel="0" collapsed="false">
      <c r="A19" s="0" t="n">
        <v>19</v>
      </c>
      <c r="B19" s="0" t="n">
        <f aca="false">A19*2</f>
        <v>38</v>
      </c>
      <c r="C19" s="0" t="n">
        <f aca="false">Budget!B$7+A19</f>
        <v>2304.5</v>
      </c>
    </row>
    <row r="20" customFormat="false" ht="15" hidden="false" customHeight="false" outlineLevel="0" collapsed="false">
      <c r="A20" s="0" t="n">
        <v>20</v>
      </c>
      <c r="B20" s="0" t="n">
        <f aca="false">A20*2</f>
        <v>40</v>
      </c>
      <c r="C20" s="0" t="n">
        <f aca="false">Budget!B$7+A20</f>
        <v>2305.5</v>
      </c>
    </row>
    <row r="21" customFormat="false" ht="15" hidden="false" customHeight="false" outlineLevel="0" collapsed="false">
      <c r="A21" s="0" t="n">
        <v>21</v>
      </c>
      <c r="B21" s="0" t="n">
        <f aca="false">A21*2</f>
        <v>42</v>
      </c>
      <c r="C21" s="0" t="n">
        <f aca="false">Budget!B$7+A21</f>
        <v>2306.5</v>
      </c>
    </row>
    <row r="22" customFormat="false" ht="15" hidden="false" customHeight="false" outlineLevel="0" collapsed="false">
      <c r="A22" s="0" t="n">
        <v>22</v>
      </c>
      <c r="B22" s="0" t="n">
        <f aca="false">A22*2</f>
        <v>44</v>
      </c>
      <c r="C22" s="0" t="n">
        <f aca="false">Budget!B$7+A22</f>
        <v>2307.5</v>
      </c>
    </row>
    <row r="23" customFormat="false" ht="15" hidden="false" customHeight="false" outlineLevel="0" collapsed="false">
      <c r="A23" s="0" t="n">
        <v>23</v>
      </c>
      <c r="B23" s="0" t="n">
        <f aca="false">A23*2</f>
        <v>46</v>
      </c>
      <c r="C23" s="0" t="n">
        <f aca="false">Budget!B$7+A23</f>
        <v>2308.5</v>
      </c>
    </row>
    <row r="24" customFormat="false" ht="15" hidden="false" customHeight="false" outlineLevel="0" collapsed="false">
      <c r="A24" s="0" t="n">
        <v>24</v>
      </c>
      <c r="B24" s="0" t="n">
        <f aca="false">A24*2</f>
        <v>48</v>
      </c>
      <c r="C24" s="0" t="n">
        <f aca="false">Budget!B$7+A24</f>
        <v>2309.5</v>
      </c>
    </row>
    <row r="25" customFormat="false" ht="15" hidden="false" customHeight="false" outlineLevel="0" collapsed="false">
      <c r="A25" s="0" t="n">
        <v>25</v>
      </c>
      <c r="B25" s="0" t="n">
        <f aca="false">A25*2</f>
        <v>50</v>
      </c>
      <c r="C25" s="0" t="n">
        <f aca="false">Budget!B$7+A25</f>
        <v>2310.5</v>
      </c>
    </row>
    <row r="26" customFormat="false" ht="15" hidden="false" customHeight="false" outlineLevel="0" collapsed="false">
      <c r="A26" s="0" t="n">
        <v>26</v>
      </c>
      <c r="B26" s="0" t="n">
        <f aca="false">A26*2</f>
        <v>52</v>
      </c>
      <c r="C26" s="0" t="n">
        <f aca="false">Budget!B$7+A26</f>
        <v>2311.5</v>
      </c>
    </row>
    <row r="27" customFormat="false" ht="15" hidden="false" customHeight="false" outlineLevel="0" collapsed="false">
      <c r="A27" s="0" t="n">
        <v>27</v>
      </c>
      <c r="B27" s="0" t="n">
        <f aca="false">A27*2</f>
        <v>54</v>
      </c>
      <c r="C27" s="0" t="n">
        <f aca="false">Budget!B$7+A27</f>
        <v>2312.5</v>
      </c>
    </row>
    <row r="28" customFormat="false" ht="15" hidden="false" customHeight="false" outlineLevel="0" collapsed="false">
      <c r="A28" s="0" t="n">
        <v>28</v>
      </c>
      <c r="B28" s="0" t="n">
        <f aca="false">A28*2</f>
        <v>56</v>
      </c>
      <c r="C28" s="0" t="n">
        <f aca="false">Budget!B$7+A28</f>
        <v>2313.5</v>
      </c>
    </row>
    <row r="29" customFormat="false" ht="15" hidden="false" customHeight="false" outlineLevel="0" collapsed="false">
      <c r="A29" s="0" t="n">
        <v>29</v>
      </c>
      <c r="B29" s="0" t="n">
        <f aca="false">A29*2</f>
        <v>58</v>
      </c>
      <c r="C29" s="0" t="n">
        <f aca="false">Budget!B$7+A29</f>
        <v>2314.5</v>
      </c>
    </row>
    <row r="30" customFormat="false" ht="15" hidden="false" customHeight="false" outlineLevel="0" collapsed="false">
      <c r="A30" s="0" t="n">
        <v>30</v>
      </c>
      <c r="B30" s="0" t="n">
        <f aca="false">A30*2</f>
        <v>60</v>
      </c>
      <c r="C30" s="0" t="n">
        <f aca="false">Budget!B$7+A30</f>
        <v>2315.5</v>
      </c>
    </row>
    <row r="31" customFormat="false" ht="15" hidden="false" customHeight="false" outlineLevel="0" collapsed="false">
      <c r="A31" s="0" t="n">
        <v>31</v>
      </c>
      <c r="B31" s="0" t="n">
        <f aca="false">A31*2</f>
        <v>62</v>
      </c>
      <c r="C31" s="0" t="n">
        <f aca="false">Budget!B$7+A31</f>
        <v>2316.5</v>
      </c>
    </row>
    <row r="32" customFormat="false" ht="15" hidden="false" customHeight="false" outlineLevel="0" collapsed="false">
      <c r="A32" s="0" t="n">
        <v>32</v>
      </c>
      <c r="B32" s="0" t="n">
        <f aca="false">A32*2</f>
        <v>64</v>
      </c>
      <c r="C32" s="0" t="n">
        <f aca="false">Budget!B$7+A32</f>
        <v>2317.5</v>
      </c>
    </row>
    <row r="33" customFormat="false" ht="15" hidden="false" customHeight="false" outlineLevel="0" collapsed="false">
      <c r="A33" s="0" t="n">
        <v>33</v>
      </c>
      <c r="B33" s="0" t="n">
        <f aca="false">A33*2</f>
        <v>66</v>
      </c>
      <c r="C33" s="0" t="n">
        <f aca="false">Budget!B$7+A33</f>
        <v>2318.5</v>
      </c>
    </row>
    <row r="34" customFormat="false" ht="15" hidden="false" customHeight="false" outlineLevel="0" collapsed="false">
      <c r="A34" s="0" t="n">
        <v>34</v>
      </c>
      <c r="B34" s="0" t="n">
        <f aca="false">A34*2</f>
        <v>68</v>
      </c>
      <c r="C34" s="0" t="n">
        <f aca="false">Budget!B$7+A34</f>
        <v>2319.5</v>
      </c>
    </row>
    <row r="35" customFormat="false" ht="15" hidden="false" customHeight="false" outlineLevel="0" collapsed="false">
      <c r="A35" s="0" t="n">
        <v>35</v>
      </c>
      <c r="B35" s="0" t="n">
        <f aca="false">A35*2</f>
        <v>70</v>
      </c>
      <c r="C35" s="0" t="n">
        <f aca="false">Budget!B$7+A35</f>
        <v>2320.5</v>
      </c>
    </row>
    <row r="36" customFormat="false" ht="15" hidden="false" customHeight="false" outlineLevel="0" collapsed="false">
      <c r="A36" s="0" t="n">
        <v>36</v>
      </c>
      <c r="B36" s="0" t="n">
        <f aca="false">A36*2</f>
        <v>72</v>
      </c>
      <c r="C36" s="0" t="n">
        <f aca="false">Budget!B$7+A36</f>
        <v>2321.5</v>
      </c>
    </row>
    <row r="37" customFormat="false" ht="15" hidden="false" customHeight="false" outlineLevel="0" collapsed="false">
      <c r="A37" s="0" t="n">
        <v>37</v>
      </c>
      <c r="B37" s="0" t="n">
        <f aca="false">A37*2</f>
        <v>74</v>
      </c>
      <c r="C37" s="0" t="n">
        <f aca="false">Budget!B$7+A37</f>
        <v>2322.5</v>
      </c>
    </row>
    <row r="38" customFormat="false" ht="15" hidden="false" customHeight="false" outlineLevel="0" collapsed="false">
      <c r="A38" s="0" t="n">
        <v>38</v>
      </c>
      <c r="B38" s="0" t="n">
        <f aca="false">A38*2</f>
        <v>76</v>
      </c>
      <c r="C38" s="0" t="n">
        <f aca="false">Budget!B$7+A38</f>
        <v>2323.5</v>
      </c>
    </row>
    <row r="39" customFormat="false" ht="15" hidden="false" customHeight="false" outlineLevel="0" collapsed="false">
      <c r="A39" s="0" t="n">
        <v>39</v>
      </c>
      <c r="B39" s="0" t="n">
        <f aca="false">A39*2</f>
        <v>78</v>
      </c>
      <c r="C39" s="0" t="n">
        <f aca="false">Budget!B$7+A39</f>
        <v>2324.5</v>
      </c>
    </row>
    <row r="40" customFormat="false" ht="15" hidden="false" customHeight="false" outlineLevel="0" collapsed="false">
      <c r="A40" s="0" t="n">
        <v>40</v>
      </c>
      <c r="B40" s="0" t="n">
        <f aca="false">A40*2</f>
        <v>80</v>
      </c>
      <c r="C40" s="0" t="n">
        <f aca="false">Budget!B$7+A40</f>
        <v>2325.5</v>
      </c>
    </row>
    <row r="41" customFormat="false" ht="15" hidden="false" customHeight="false" outlineLevel="0" collapsed="false">
      <c r="A41" s="0" t="n">
        <v>41</v>
      </c>
      <c r="B41" s="0" t="n">
        <f aca="false">A41*2</f>
        <v>82</v>
      </c>
      <c r="C41" s="0" t="n">
        <f aca="false">Budget!B$7+A41</f>
        <v>2326.5</v>
      </c>
    </row>
    <row r="42" customFormat="false" ht="15" hidden="false" customHeight="false" outlineLevel="0" collapsed="false">
      <c r="A42" s="0" t="n">
        <v>42</v>
      </c>
      <c r="B42" s="0" t="n">
        <f aca="false">A42*2</f>
        <v>84</v>
      </c>
      <c r="C42" s="0" t="n">
        <f aca="false">Budget!B$7+A42</f>
        <v>2327.5</v>
      </c>
    </row>
    <row r="43" customFormat="false" ht="15" hidden="false" customHeight="false" outlineLevel="0" collapsed="false">
      <c r="A43" s="0" t="n">
        <v>43</v>
      </c>
      <c r="B43" s="0" t="n">
        <f aca="false">A43*2</f>
        <v>86</v>
      </c>
      <c r="C43" s="0" t="n">
        <f aca="false">Budget!B$7+A43</f>
        <v>2328.5</v>
      </c>
    </row>
    <row r="44" customFormat="false" ht="15" hidden="false" customHeight="false" outlineLevel="0" collapsed="false">
      <c r="A44" s="0" t="n">
        <v>44</v>
      </c>
      <c r="B44" s="0" t="n">
        <f aca="false">A44*2</f>
        <v>88</v>
      </c>
      <c r="C44" s="0" t="n">
        <f aca="false">Budget!B$7+A44</f>
        <v>2329.5</v>
      </c>
    </row>
    <row r="45" customFormat="false" ht="15" hidden="false" customHeight="false" outlineLevel="0" collapsed="false">
      <c r="A45" s="0" t="n">
        <v>45</v>
      </c>
      <c r="B45" s="0" t="n">
        <f aca="false">A45*2</f>
        <v>90</v>
      </c>
      <c r="C45" s="0" t="n">
        <f aca="false">Budget!B$7+A45</f>
        <v>2330.5</v>
      </c>
    </row>
    <row r="46" customFormat="false" ht="15" hidden="false" customHeight="false" outlineLevel="0" collapsed="false">
      <c r="A46" s="0" t="n">
        <v>46</v>
      </c>
      <c r="B46" s="0" t="n">
        <f aca="false">A46*2</f>
        <v>92</v>
      </c>
      <c r="C46" s="0" t="n">
        <f aca="false">Budget!B$7+A46</f>
        <v>2331.5</v>
      </c>
    </row>
    <row r="47" customFormat="false" ht="15" hidden="false" customHeight="false" outlineLevel="0" collapsed="false">
      <c r="A47" s="0" t="n">
        <v>47</v>
      </c>
      <c r="B47" s="0" t="n">
        <f aca="false">A47*2</f>
        <v>94</v>
      </c>
      <c r="C47" s="0" t="n">
        <f aca="false">Budget!B$7+A47</f>
        <v>2332.5</v>
      </c>
    </row>
    <row r="48" customFormat="false" ht="15" hidden="false" customHeight="false" outlineLevel="0" collapsed="false">
      <c r="A48" s="0" t="n">
        <v>48</v>
      </c>
      <c r="B48" s="0" t="n">
        <f aca="false">A48*2</f>
        <v>96</v>
      </c>
      <c r="C48" s="0" t="n">
        <f aca="false">Budget!B$7+A48</f>
        <v>2333.5</v>
      </c>
    </row>
    <row r="49" customFormat="false" ht="15" hidden="false" customHeight="false" outlineLevel="0" collapsed="false">
      <c r="A49" s="0" t="n">
        <v>49</v>
      </c>
      <c r="B49" s="0" t="n">
        <f aca="false">A49*2</f>
        <v>98</v>
      </c>
      <c r="C49" s="0" t="n">
        <f aca="false">Budget!B$7+A49</f>
        <v>2334.5</v>
      </c>
    </row>
    <row r="50" customFormat="false" ht="15" hidden="false" customHeight="false" outlineLevel="0" collapsed="false">
      <c r="A50" s="0" t="n">
        <v>50</v>
      </c>
      <c r="B50" s="0" t="n">
        <f aca="false">A50*2</f>
        <v>100</v>
      </c>
      <c r="C50" s="0" t="n">
        <f aca="false">Budget!B$7+A50</f>
        <v>2335.5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2026-10-03T12:27:46Z</dcterms:created>
  <dc:creator>openpyxl</dc:creator>
  <dc:description/>
  <dc:language>en-US</dc:language>
  <cp:lastModifiedBy/>
  <dcterms:modified xsi:type="dcterms:W3CDTF">2026-10-03T12:27:46Z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