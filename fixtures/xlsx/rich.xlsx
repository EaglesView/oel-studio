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Données" sheetId="2" state="visible" r:id="rId2"/>
    <sheet name="Caché" sheetId="3" state="hidden" r:id="rId3"/>
  </sheets>
  <definedNames>
    <definedName name="Montants">Budget!$B$2:$B$5</definedName>
    <definedName name="_xlnm._FilterDatabase" localSheetId="0" hidden="1">'Budget'!$A$1:$E$5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 &quot;$&quot;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2"/>
    </font>
    <font>
      <i val="1"/>
      <strike val="0"/>
      <u val="single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4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4" fillId="0" borderId="0" pivotButton="0" quotePrefix="0" xfId="1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ont>
        <color rgb="009C0006"/>
      </font>
      <fill>
        <patternFill patternType="solid">
          <bgColor rgb="00FFC7CE"/>
        </patternFill>
      </fill>
    </dxf>
    <dxf>
      <font>
        <b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Montants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'Budget'!B1</f>
            </strRef>
          </tx>
          <spPr>
            <a:ln>
              <a:prstDash val="solid"/>
            </a:ln>
          </spPr>
          <cat>
            <numRef>
              <f>'Budget'!$A$2:$A$5</f>
            </numRef>
          </cat>
          <val>
            <numRef>
              <f>'Budget'!$B$2:$B$5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JB</author>
  </authors>
  <commentList>
    <comment ref="A3" authorId="0" shapeId="0">
      <text>
        <t>Note de test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utilsenligne.ca" TargetMode="External" Id="rId1" /><Relationship Type="http://schemas.openxmlformats.org/officeDocument/2006/relationships/drawing" Target="/xl/drawings/drawing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6F5C"/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hidden="1" width="13" customWidth="1" min="5" max="5"/>
  </cols>
  <sheetData>
    <row r="1">
      <c r="A1" s="1" t="inlineStr">
        <is>
          <t>Poste</t>
        </is>
      </c>
      <c r="B1" s="1" t="inlineStr">
        <is>
          <t>Montant</t>
        </is>
      </c>
      <c r="C1" s="1" t="inlineStr">
        <is>
          <t>Part</t>
        </is>
      </c>
      <c r="D1" s="1" t="inlineStr">
        <is>
          <t>Date</t>
        </is>
      </c>
      <c r="E1" s="1" t="inlineStr">
        <is>
          <t>Code</t>
        </is>
      </c>
    </row>
    <row r="2">
      <c r="A2" s="2" t="inlineStr">
        <is>
          <t>Loyer</t>
        </is>
      </c>
      <c r="B2" s="3" t="n">
        <v>1450.5</v>
      </c>
      <c r="C2" s="4">
        <f>B2/$B$7</f>
        <v/>
      </c>
      <c r="D2" s="5" t="n">
        <v>46023</v>
      </c>
      <c r="E2" t="inlineStr">
        <is>
          <t>007</t>
        </is>
      </c>
    </row>
    <row r="3">
      <c r="A3" t="inlineStr">
        <is>
          <t>Épicerie</t>
        </is>
      </c>
      <c r="B3" s="3" t="n">
        <v>612.25</v>
      </c>
      <c r="C3" s="4">
        <f>B3/$B$7</f>
        <v/>
      </c>
      <c r="D3" s="5" t="n">
        <v>46025</v>
      </c>
      <c r="E3" t="inlineStr">
        <is>
          <t>012</t>
        </is>
      </c>
    </row>
    <row r="4">
      <c r="A4" t="inlineStr">
        <is>
          <t>Transport</t>
        </is>
      </c>
      <c r="B4" s="3" t="n">
        <v>180</v>
      </c>
      <c r="C4" s="4">
        <f>B4/$B$7</f>
        <v/>
      </c>
      <c r="D4" s="5" t="n">
        <v>46027</v>
      </c>
      <c r="E4" t="inlineStr">
        <is>
          <t>100</t>
        </is>
      </c>
    </row>
    <row r="5">
      <c r="A5" t="inlineStr">
        <is>
          <t>Café « bio »</t>
        </is>
      </c>
      <c r="B5" s="3" t="n">
        <v>42.75</v>
      </c>
      <c r="C5" s="4">
        <f>B5/$B$7</f>
        <v/>
      </c>
      <c r="D5" s="5" t="n">
        <v>46031</v>
      </c>
      <c r="E5" t="inlineStr">
        <is>
          <t>003</t>
        </is>
      </c>
    </row>
    <row r="6">
      <c r="B6" s="3" t="n"/>
      <c r="C6" s="4" t="n"/>
    </row>
    <row r="7">
      <c r="A7" s="6" t="inlineStr">
        <is>
          <t>Total</t>
        </is>
      </c>
      <c r="B7" s="7">
        <f>SUM(B2:B5)</f>
        <v/>
      </c>
      <c r="C7" s="8">
        <f>SUM(C2:C5)</f>
        <v/>
      </c>
    </row>
    <row r="8">
      <c r="A8" t="inlineStr">
        <is>
          <t>Moyenne</t>
        </is>
      </c>
      <c r="B8" s="3">
        <f>AVERAGE(B2:B5)</f>
        <v/>
      </c>
    </row>
    <row r="9">
      <c r="A9" t="inlineStr">
        <is>
          <t>Max</t>
        </is>
      </c>
      <c r="B9" s="3">
        <f>MAX(Montants)</f>
        <v/>
      </c>
    </row>
    <row r="10">
      <c r="A10" t="inlineStr">
        <is>
          <t>Texte</t>
        </is>
      </c>
      <c r="B10">
        <f>CONCATENATE(A2," : ",TEXT(B2,"0.00"))</f>
        <v/>
      </c>
    </row>
    <row r="11">
      <c r="A11" t="inlineStr">
        <is>
          <t>Vrai</t>
        </is>
      </c>
      <c r="B11" t="b">
        <v>1</v>
      </c>
    </row>
    <row r="12">
      <c r="A12" t="inlineStr">
        <is>
          <t>Erreur</t>
        </is>
      </c>
      <c r="B12">
        <f>1/0</f>
        <v/>
      </c>
    </row>
    <row r="13" ht="32" customHeight="1">
      <c r="A13" s="9" t="inlineStr">
        <is>
          <t>Multi
ligne</t>
        </is>
      </c>
    </row>
    <row r="15">
      <c r="A15" t="inlineStr">
        <is>
          <t>Cellules fusionnées</t>
        </is>
      </c>
    </row>
  </sheetData>
  <autoFilter ref="A1:E5"/>
  <mergeCells count="1">
    <mergeCell ref="A15:C15"/>
  </mergeCells>
  <conditionalFormatting sqref="B2:B5">
    <cfRule type="cellIs" priority="1" operator="greaterThan" dxfId="0">
      <formula>500</formula>
    </cfRule>
    <cfRule type="dataBar" priority="3">
      <dataBar>
        <cfvo type="min"/>
        <cfvo type="max"/>
        <color rgb="00638EC6"/>
      </dataBar>
    </cfRule>
  </conditionalFormatting>
  <conditionalFormatting sqref="C2:C5">
    <cfRule type="colorScale" priority="2">
      <colorScale>
        <cfvo type="min"/>
        <cfvo type="max"/>
        <color rgb="00FFFFFF"/>
        <color rgb="001F6F5C"/>
      </colorScale>
    </cfRule>
  </conditionalFormatting>
  <conditionalFormatting sqref="A2:A5">
    <cfRule type="expression" priority="4" dxfId="1">
      <formula>LEN(A2)&gt;8</formula>
    </cfRule>
  </conditionalFormatting>
  <dataValidations count="1">
    <dataValidation sqref="F2:F5" showDropDown="0" showInputMessage="0" showErrorMessage="0" allowBlank="1" type="list">
      <formula1>"Oui,Non,Peut-être"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>
        <f>A1*2</f>
        <v/>
      </c>
      <c r="C1">
        <f>Budget!B$7+A1</f>
        <v/>
      </c>
      <c r="E1">
        <f>SUMPRODUCT(A1:A50,B1:B50)</f>
        <v/>
      </c>
    </row>
    <row r="2">
      <c r="A2" t="n">
        <v>2</v>
      </c>
      <c r="B2">
        <f>A2*2</f>
        <v/>
      </c>
      <c r="C2">
        <f>Budget!B$7+A2</f>
        <v/>
      </c>
      <c r="E2">
        <f>VLOOKUP(10,A1:B50,2,FALSE)</f>
        <v/>
      </c>
    </row>
    <row r="3">
      <c r="A3" t="n">
        <v>3</v>
      </c>
      <c r="B3">
        <f>A3*2</f>
        <v/>
      </c>
      <c r="C3">
        <f>Budget!B$7+A3</f>
        <v/>
      </c>
      <c r="E3">
        <f>IFERROR(INDEX(B1:B50,MATCH(25,A1:A50,0)),"?")</f>
        <v/>
      </c>
    </row>
    <row r="4">
      <c r="A4" t="n">
        <v>4</v>
      </c>
      <c r="B4">
        <f>A4*2</f>
        <v/>
      </c>
      <c r="C4">
        <f>Budget!B$7+A4</f>
        <v/>
      </c>
      <c r="E4">
        <f>COUNTIF(A1:A50,"&gt;25")</f>
        <v/>
      </c>
    </row>
    <row r="5">
      <c r="A5" t="n">
        <v>5</v>
      </c>
      <c r="B5">
        <f>A5*2</f>
        <v/>
      </c>
      <c r="C5">
        <f>Budget!B$7+A5</f>
        <v/>
      </c>
      <c r="E5">
        <f>ROUND(PI(),4)</f>
        <v/>
      </c>
    </row>
    <row r="6">
      <c r="A6" t="n">
        <v>6</v>
      </c>
      <c r="B6">
        <f>A6*2</f>
        <v/>
      </c>
      <c r="C6">
        <f>Budget!B$7+A6</f>
        <v/>
      </c>
      <c r="E6">
        <f>IF(E5&gt;3,"grand","petit")</f>
        <v/>
      </c>
    </row>
    <row r="7">
      <c r="A7" t="n">
        <v>7</v>
      </c>
      <c r="B7">
        <f>A7*2</f>
        <v/>
      </c>
      <c r="C7">
        <f>Budget!B$7+A7</f>
        <v/>
      </c>
    </row>
    <row r="8">
      <c r="A8" t="n">
        <v>8</v>
      </c>
      <c r="B8">
        <f>A8*2</f>
        <v/>
      </c>
      <c r="C8">
        <f>Budget!B$7+A8</f>
        <v/>
      </c>
    </row>
    <row r="9">
      <c r="A9" t="n">
        <v>9</v>
      </c>
      <c r="B9">
        <f>A9*2</f>
        <v/>
      </c>
      <c r="C9">
        <f>Budget!B$7+A9</f>
        <v/>
      </c>
    </row>
    <row r="10">
      <c r="A10" t="n">
        <v>10</v>
      </c>
      <c r="B10">
        <f>A10*2</f>
        <v/>
      </c>
      <c r="C10">
        <f>Budget!B$7+A10</f>
        <v/>
      </c>
    </row>
    <row r="11">
      <c r="A11" t="n">
        <v>11</v>
      </c>
      <c r="B11">
        <f>A11*2</f>
        <v/>
      </c>
      <c r="C11">
        <f>Budget!B$7+A11</f>
        <v/>
      </c>
    </row>
    <row r="12">
      <c r="A12" t="n">
        <v>12</v>
      </c>
      <c r="B12">
        <f>A12*2</f>
        <v/>
      </c>
      <c r="C12">
        <f>Budget!B$7+A12</f>
        <v/>
      </c>
    </row>
    <row r="13">
      <c r="A13" t="n">
        <v>13</v>
      </c>
      <c r="B13">
        <f>A13*2</f>
        <v/>
      </c>
      <c r="C13">
        <f>Budget!B$7+A13</f>
        <v/>
      </c>
    </row>
    <row r="14">
      <c r="A14" t="n">
        <v>14</v>
      </c>
      <c r="B14">
        <f>A14*2</f>
        <v/>
      </c>
      <c r="C14">
        <f>Budget!B$7+A14</f>
        <v/>
      </c>
    </row>
    <row r="15">
      <c r="A15" t="n">
        <v>15</v>
      </c>
      <c r="B15">
        <f>A15*2</f>
        <v/>
      </c>
      <c r="C15">
        <f>Budget!B$7+A15</f>
        <v/>
      </c>
    </row>
    <row r="16">
      <c r="A16" t="n">
        <v>16</v>
      </c>
      <c r="B16">
        <f>A16*2</f>
        <v/>
      </c>
      <c r="C16">
        <f>Budget!B$7+A16</f>
        <v/>
      </c>
    </row>
    <row r="17">
      <c r="A17" t="n">
        <v>17</v>
      </c>
      <c r="B17">
        <f>A17*2</f>
        <v/>
      </c>
      <c r="C17">
        <f>Budget!B$7+A17</f>
        <v/>
      </c>
    </row>
    <row r="18">
      <c r="A18" t="n">
        <v>18</v>
      </c>
      <c r="B18">
        <f>A18*2</f>
        <v/>
      </c>
      <c r="C18">
        <f>Budget!B$7+A18</f>
        <v/>
      </c>
    </row>
    <row r="19">
      <c r="A19" t="n">
        <v>19</v>
      </c>
      <c r="B19">
        <f>A19*2</f>
        <v/>
      </c>
      <c r="C19">
        <f>Budget!B$7+A19</f>
        <v/>
      </c>
    </row>
    <row r="20">
      <c r="A20" t="n">
        <v>20</v>
      </c>
      <c r="B20">
        <f>A20*2</f>
        <v/>
      </c>
      <c r="C20">
        <f>Budget!B$7+A20</f>
        <v/>
      </c>
    </row>
    <row r="21">
      <c r="A21" t="n">
        <v>21</v>
      </c>
      <c r="B21">
        <f>A21*2</f>
        <v/>
      </c>
      <c r="C21">
        <f>Budget!B$7+A21</f>
        <v/>
      </c>
    </row>
    <row r="22">
      <c r="A22" t="n">
        <v>22</v>
      </c>
      <c r="B22">
        <f>A22*2</f>
        <v/>
      </c>
      <c r="C22">
        <f>Budget!B$7+A22</f>
        <v/>
      </c>
    </row>
    <row r="23">
      <c r="A23" t="n">
        <v>23</v>
      </c>
      <c r="B23">
        <f>A23*2</f>
        <v/>
      </c>
      <c r="C23">
        <f>Budget!B$7+A23</f>
        <v/>
      </c>
    </row>
    <row r="24">
      <c r="A24" t="n">
        <v>24</v>
      </c>
      <c r="B24">
        <f>A24*2</f>
        <v/>
      </c>
      <c r="C24">
        <f>Budget!B$7+A24</f>
        <v/>
      </c>
    </row>
    <row r="25">
      <c r="A25" t="n">
        <v>25</v>
      </c>
      <c r="B25">
        <f>A25*2</f>
        <v/>
      </c>
      <c r="C25">
        <f>Budget!B$7+A25</f>
        <v/>
      </c>
    </row>
    <row r="26">
      <c r="A26" t="n">
        <v>26</v>
      </c>
      <c r="B26">
        <f>A26*2</f>
        <v/>
      </c>
      <c r="C26">
        <f>Budget!B$7+A26</f>
        <v/>
      </c>
    </row>
    <row r="27">
      <c r="A27" t="n">
        <v>27</v>
      </c>
      <c r="B27">
        <f>A27*2</f>
        <v/>
      </c>
      <c r="C27">
        <f>Budget!B$7+A27</f>
        <v/>
      </c>
    </row>
    <row r="28">
      <c r="A28" t="n">
        <v>28</v>
      </c>
      <c r="B28">
        <f>A28*2</f>
        <v/>
      </c>
      <c r="C28">
        <f>Budget!B$7+A28</f>
        <v/>
      </c>
    </row>
    <row r="29">
      <c r="A29" t="n">
        <v>29</v>
      </c>
      <c r="B29">
        <f>A29*2</f>
        <v/>
      </c>
      <c r="C29">
        <f>Budget!B$7+A29</f>
        <v/>
      </c>
    </row>
    <row r="30">
      <c r="A30" t="n">
        <v>30</v>
      </c>
      <c r="B30">
        <f>A30*2</f>
        <v/>
      </c>
      <c r="C30">
        <f>Budget!B$7+A30</f>
        <v/>
      </c>
    </row>
    <row r="31">
      <c r="A31" t="n">
        <v>31</v>
      </c>
      <c r="B31">
        <f>A31*2</f>
        <v/>
      </c>
      <c r="C31">
        <f>Budget!B$7+A31</f>
        <v/>
      </c>
    </row>
    <row r="32">
      <c r="A32" t="n">
        <v>32</v>
      </c>
      <c r="B32">
        <f>A32*2</f>
        <v/>
      </c>
      <c r="C32">
        <f>Budget!B$7+A32</f>
        <v/>
      </c>
    </row>
    <row r="33">
      <c r="A33" t="n">
        <v>33</v>
      </c>
      <c r="B33">
        <f>A33*2</f>
        <v/>
      </c>
      <c r="C33">
        <f>Budget!B$7+A33</f>
        <v/>
      </c>
    </row>
    <row r="34">
      <c r="A34" t="n">
        <v>34</v>
      </c>
      <c r="B34">
        <f>A34*2</f>
        <v/>
      </c>
      <c r="C34">
        <f>Budget!B$7+A34</f>
        <v/>
      </c>
    </row>
    <row r="35">
      <c r="A35" t="n">
        <v>35</v>
      </c>
      <c r="B35">
        <f>A35*2</f>
        <v/>
      </c>
      <c r="C35">
        <f>Budget!B$7+A35</f>
        <v/>
      </c>
    </row>
    <row r="36">
      <c r="A36" t="n">
        <v>36</v>
      </c>
      <c r="B36">
        <f>A36*2</f>
        <v/>
      </c>
      <c r="C36">
        <f>Budget!B$7+A36</f>
        <v/>
      </c>
    </row>
    <row r="37">
      <c r="A37" t="n">
        <v>37</v>
      </c>
      <c r="B37">
        <f>A37*2</f>
        <v/>
      </c>
      <c r="C37">
        <f>Budget!B$7+A37</f>
        <v/>
      </c>
    </row>
    <row r="38">
      <c r="A38" t="n">
        <v>38</v>
      </c>
      <c r="B38">
        <f>A38*2</f>
        <v/>
      </c>
      <c r="C38">
        <f>Budget!B$7+A38</f>
        <v/>
      </c>
    </row>
    <row r="39">
      <c r="A39" t="n">
        <v>39</v>
      </c>
      <c r="B39">
        <f>A39*2</f>
        <v/>
      </c>
      <c r="C39">
        <f>Budget!B$7+A39</f>
        <v/>
      </c>
    </row>
    <row r="40">
      <c r="A40" t="n">
        <v>40</v>
      </c>
      <c r="B40">
        <f>A40*2</f>
        <v/>
      </c>
      <c r="C40">
        <f>Budget!B$7+A40</f>
        <v/>
      </c>
    </row>
    <row r="41">
      <c r="A41" t="n">
        <v>41</v>
      </c>
      <c r="B41">
        <f>A41*2</f>
        <v/>
      </c>
      <c r="C41">
        <f>Budget!B$7+A41</f>
        <v/>
      </c>
    </row>
    <row r="42">
      <c r="A42" t="n">
        <v>42</v>
      </c>
      <c r="B42">
        <f>A42*2</f>
        <v/>
      </c>
      <c r="C42">
        <f>Budget!B$7+A42</f>
        <v/>
      </c>
    </row>
    <row r="43">
      <c r="A43" t="n">
        <v>43</v>
      </c>
      <c r="B43">
        <f>A43*2</f>
        <v/>
      </c>
      <c r="C43">
        <f>Budget!B$7+A43</f>
        <v/>
      </c>
    </row>
    <row r="44">
      <c r="A44" t="n">
        <v>44</v>
      </c>
      <c r="B44">
        <f>A44*2</f>
        <v/>
      </c>
      <c r="C44">
        <f>Budget!B$7+A44</f>
        <v/>
      </c>
    </row>
    <row r="45">
      <c r="A45" t="n">
        <v>45</v>
      </c>
      <c r="B45">
        <f>A45*2</f>
        <v/>
      </c>
      <c r="C45">
        <f>Budget!B$7+A45</f>
        <v/>
      </c>
    </row>
    <row r="46">
      <c r="A46" t="n">
        <v>46</v>
      </c>
      <c r="B46">
        <f>A46*2</f>
        <v/>
      </c>
      <c r="C46">
        <f>Budget!B$7+A46</f>
        <v/>
      </c>
    </row>
    <row r="47">
      <c r="A47" t="n">
        <v>47</v>
      </c>
      <c r="B47">
        <f>A47*2</f>
        <v/>
      </c>
      <c r="C47">
        <f>Budget!B$7+A47</f>
        <v/>
      </c>
    </row>
    <row r="48">
      <c r="A48" t="n">
        <v>48</v>
      </c>
      <c r="B48">
        <f>A48*2</f>
        <v/>
      </c>
      <c r="C48">
        <f>Budget!B$7+A48</f>
        <v/>
      </c>
    </row>
    <row r="49">
      <c r="A49" t="n">
        <v>49</v>
      </c>
      <c r="B49">
        <f>A49*2</f>
        <v/>
      </c>
      <c r="C49">
        <f>Budget!B$7+A49</f>
        <v/>
      </c>
    </row>
    <row r="50">
      <c r="A50" t="n">
        <v>50</v>
      </c>
      <c r="B50">
        <f>A50*2</f>
        <v/>
      </c>
      <c r="C50">
        <f>Budget!B$7+A50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2026-10-03T12:27:46Z</dcterms:created>
  <dcterms:modified xsi:type="dcterms:W3CDTF">2026-10-03T12:27:46Z</dcterms:modified>
</cp:coreProperties>
</file>